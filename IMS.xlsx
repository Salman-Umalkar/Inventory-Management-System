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lma\Desktop\Inventory Management system\"/>
    </mc:Choice>
  </mc:AlternateContent>
  <xr:revisionPtr revIDLastSave="0" documentId="13_ncr:1_{30640BC1-7C50-4EDB-9926-8631C0C7D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ivots" sheetId="9" r:id="rId2"/>
    <sheet name="Customers" sheetId="2" r:id="rId3"/>
    <sheet name="Products" sheetId="3" r:id="rId4"/>
    <sheet name="Vendors" sheetId="4" r:id="rId5"/>
    <sheet name="New Entry" sheetId="5" r:id="rId6"/>
    <sheet name="Purchase" sheetId="6" r:id="rId7"/>
    <sheet name="Sales" sheetId="7" r:id="rId8"/>
    <sheet name="Inventory " sheetId="8" r:id="rId9"/>
    <sheet name="Sheet13" sheetId="13" r:id="rId10"/>
    <sheet name="Sheet14" sheetId="14" r:id="rId11"/>
  </sheets>
  <definedNames>
    <definedName name="customerid">customersdata[C_ID]</definedName>
    <definedName name="HSNCODE">productsdata[HSN Code]</definedName>
  </definedNames>
  <calcPr calcId="191029"/>
  <pivotCaches>
    <pivotCache cacheId="3" r:id="rId12"/>
    <pivotCache cacheId="6" r:id="rId13"/>
    <pivotCache cacheId="9" r:id="rId14"/>
    <pivotCache cacheId="19" r:id="rId15"/>
    <pivotCache cacheId="2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9" l="1"/>
  <c r="C14" i="9"/>
  <c r="C11" i="9"/>
  <c r="C8" i="9"/>
  <c r="C5" i="9"/>
  <c r="C2" i="9"/>
  <c r="E22" i="7"/>
  <c r="E23" i="7"/>
  <c r="E24" i="7"/>
  <c r="G22" i="7"/>
  <c r="G23" i="7"/>
  <c r="G24" i="7"/>
  <c r="K22" i="7"/>
  <c r="L22" i="7" s="1"/>
  <c r="K23" i="7"/>
  <c r="L23" i="7" s="1"/>
  <c r="K24" i="7"/>
  <c r="L24" i="7" s="1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E8" i="4"/>
  <c r="D8" i="4"/>
  <c r="E20" i="7"/>
  <c r="E21" i="7"/>
  <c r="G20" i="7"/>
  <c r="G21" i="7"/>
  <c r="K20" i="7"/>
  <c r="L20" i="7" s="1"/>
  <c r="K21" i="7"/>
  <c r="L21" i="7" s="1"/>
  <c r="E18" i="6"/>
  <c r="E19" i="6"/>
  <c r="I18" i="6"/>
  <c r="J18" i="6" s="1"/>
  <c r="I19" i="6"/>
  <c r="J19" i="6" s="1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E8" i="8"/>
  <c r="F8" i="8"/>
  <c r="D8" i="8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G8" i="7"/>
  <c r="G9" i="7"/>
  <c r="G10" i="7"/>
  <c r="G11" i="7"/>
  <c r="G12" i="7"/>
  <c r="G13" i="7"/>
  <c r="G14" i="7"/>
  <c r="G15" i="7"/>
  <c r="G16" i="7"/>
  <c r="G17" i="7"/>
  <c r="G18" i="7"/>
  <c r="G19" i="7"/>
  <c r="E8" i="7"/>
  <c r="E9" i="7"/>
  <c r="E10" i="7"/>
  <c r="E11" i="7"/>
  <c r="E12" i="7"/>
  <c r="E13" i="7"/>
  <c r="E14" i="7"/>
  <c r="E15" i="7"/>
  <c r="E16" i="7"/>
  <c r="E17" i="7"/>
  <c r="E18" i="7"/>
  <c r="E19" i="7"/>
  <c r="E17" i="6"/>
  <c r="I17" i="6"/>
  <c r="J1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E9" i="6"/>
  <c r="E10" i="6"/>
  <c r="E11" i="6"/>
  <c r="E12" i="6"/>
  <c r="E8" i="6"/>
  <c r="E13" i="6"/>
  <c r="E14" i="6"/>
  <c r="E15" i="6"/>
  <c r="E16" i="6"/>
  <c r="G9" i="8" l="1"/>
  <c r="G16" i="8"/>
  <c r="G17" i="8"/>
  <c r="G12" i="8"/>
  <c r="G10" i="8"/>
  <c r="G18" i="8"/>
  <c r="G13" i="8"/>
  <c r="G11" i="8"/>
  <c r="G14" i="8"/>
  <c r="G15" i="8"/>
  <c r="F19" i="6"/>
  <c r="F18" i="6"/>
  <c r="F17" i="6"/>
  <c r="F8" i="6"/>
  <c r="F9" i="6"/>
  <c r="F10" i="6"/>
  <c r="F11" i="6"/>
  <c r="F12" i="6"/>
  <c r="F13" i="6"/>
  <c r="F14" i="6"/>
  <c r="F15" i="6"/>
  <c r="F16" i="6"/>
  <c r="H17" i="8"/>
  <c r="G8" i="8"/>
  <c r="H8" i="8"/>
  <c r="H18" i="8"/>
  <c r="H12" i="8"/>
  <c r="H9" i="8"/>
  <c r="H10" i="8"/>
  <c r="H11" i="8"/>
  <c r="H13" i="8"/>
  <c r="H14" i="8"/>
  <c r="H15" i="8"/>
  <c r="H16" i="8"/>
  <c r="I16" i="8" l="1"/>
  <c r="I17" i="8"/>
  <c r="I17" i="7" s="1"/>
  <c r="I9" i="8"/>
  <c r="I14" i="8"/>
  <c r="I8" i="8"/>
  <c r="I11" i="8"/>
  <c r="I12" i="7" s="1"/>
  <c r="I18" i="8"/>
  <c r="J18" i="8" s="1"/>
  <c r="I12" i="8"/>
  <c r="I10" i="8"/>
  <c r="I13" i="8"/>
  <c r="I15" i="8"/>
  <c r="I14" i="7"/>
  <c r="J16" i="8" l="1"/>
  <c r="K16" i="8"/>
  <c r="J17" i="8"/>
  <c r="K17" i="8"/>
  <c r="I23" i="7"/>
  <c r="I24" i="7"/>
  <c r="K18" i="8"/>
  <c r="I22" i="7"/>
  <c r="I9" i="7"/>
  <c r="I19" i="7"/>
  <c r="J15" i="8"/>
  <c r="K15" i="8"/>
  <c r="K9" i="8"/>
  <c r="J9" i="8"/>
  <c r="I18" i="7"/>
  <c r="I8" i="7"/>
  <c r="I20" i="7"/>
  <c r="I21" i="7"/>
  <c r="I13" i="7"/>
  <c r="I15" i="7"/>
  <c r="I16" i="7"/>
  <c r="K8" i="8"/>
  <c r="J8" i="8"/>
  <c r="K14" i="8"/>
  <c r="J14" i="8"/>
  <c r="K11" i="8"/>
  <c r="J11" i="8"/>
  <c r="K12" i="8"/>
  <c r="I11" i="7"/>
  <c r="I10" i="7"/>
  <c r="J12" i="8"/>
  <c r="K10" i="8"/>
  <c r="J10" i="8"/>
  <c r="K13" i="8"/>
  <c r="J13" i="8"/>
  <c r="H25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<sst xmlns="http://schemas.openxmlformats.org/spreadsheetml/2006/main" count="191" uniqueCount="103">
  <si>
    <t>C_ID</t>
  </si>
  <si>
    <t>Name</t>
  </si>
  <si>
    <t>Email</t>
  </si>
  <si>
    <t>Address</t>
  </si>
  <si>
    <t>C001</t>
  </si>
  <si>
    <t>Aarav Sharma</t>
  </si>
  <si>
    <t>aarav.sharma2026@gmail.com</t>
  </si>
  <si>
    <t>124 MG Road, Mumbai</t>
  </si>
  <si>
    <t>C002</t>
  </si>
  <si>
    <t>Priya Patel</t>
  </si>
  <si>
    <t>priya.patel.92@gmail.com</t>
  </si>
  <si>
    <t>45 Park Street, Kolkata</t>
  </si>
  <si>
    <t>C003</t>
  </si>
  <si>
    <t>Rohan Verma</t>
  </si>
  <si>
    <t>rohan.verma.tech@gmail.com</t>
  </si>
  <si>
    <t>12 Sector 18, Noida</t>
  </si>
  <si>
    <t>C004</t>
  </si>
  <si>
    <t>Ananya Iyer</t>
  </si>
  <si>
    <t>ananya.iyer.design@gmail.com</t>
  </si>
  <si>
    <t>88 Anna Salai, Chennai</t>
  </si>
  <si>
    <t>C005</t>
  </si>
  <si>
    <t>Kabir Mehta</t>
  </si>
  <si>
    <t>kabir.mehta.95@gmail.com</t>
  </si>
  <si>
    <t>77 Brigade Road, Bengaluru</t>
  </si>
  <si>
    <t>C006</t>
  </si>
  <si>
    <t>Neha Gupta</t>
  </si>
  <si>
    <t>neha.gupta.finance@gmail.com</t>
  </si>
  <si>
    <t>50 Connaught Place, New Delhi</t>
  </si>
  <si>
    <t>HSN Code</t>
  </si>
  <si>
    <t>PName</t>
  </si>
  <si>
    <t>Cost</t>
  </si>
  <si>
    <t>Price</t>
  </si>
  <si>
    <t>N1001</t>
  </si>
  <si>
    <t>Wireless Earbuds</t>
  </si>
  <si>
    <t>N1002</t>
  </si>
  <si>
    <t>Smartphone 128GB</t>
  </si>
  <si>
    <t>N1003</t>
  </si>
  <si>
    <t>Business Laptop 15.6"</t>
  </si>
  <si>
    <t>N1004</t>
  </si>
  <si>
    <t>27" Full HD Monitor</t>
  </si>
  <si>
    <t>N1005</t>
  </si>
  <si>
    <t>Mechanical Gaming Keyboard</t>
  </si>
  <si>
    <t>N1006</t>
  </si>
  <si>
    <t>Ergonomic Wireless Mouse</t>
  </si>
  <si>
    <t>N1007</t>
  </si>
  <si>
    <t>Portable Bluetooth Speaker</t>
  </si>
  <si>
    <t>N1008</t>
  </si>
  <si>
    <t>Dual-Band Wi-Fi Router</t>
  </si>
  <si>
    <t>N1009</t>
  </si>
  <si>
    <t>43" 4K Smart TV</t>
  </si>
  <si>
    <t>N1010</t>
  </si>
  <si>
    <t>20000mAh Fast Charging Power Bank</t>
  </si>
  <si>
    <t>Pname</t>
  </si>
  <si>
    <t>Vendor Name</t>
  </si>
  <si>
    <t>Phone Number</t>
  </si>
  <si>
    <t>Apex Distributors</t>
  </si>
  <si>
    <t>12 Electronics Zone Bandra Mumbai 400050</t>
  </si>
  <si>
    <t>45 MG Road Camp Pune 411001</t>
  </si>
  <si>
    <t>Global Tech Supplies</t>
  </si>
  <si>
    <t>88 Nehru Place New Delhi 110019</t>
  </si>
  <si>
    <t>Prime Electronics</t>
  </si>
  <si>
    <t>23 SP Road Bengaluru 560002</t>
  </si>
  <si>
    <t>101 Park Street Kolkata 700016</t>
  </si>
  <si>
    <t>Nexus Enterprises</t>
  </si>
  <si>
    <t>56 Anna Salai Chennai 600002</t>
  </si>
  <si>
    <t>34 Sector 18 Noida 201301</t>
  </si>
  <si>
    <t>79 CG Road Ahmedabad 380009</t>
  </si>
  <si>
    <t>90 HITEC City Hyderabad 500081</t>
  </si>
  <si>
    <t>15 Station Road Jaipur 302006</t>
  </si>
  <si>
    <t>Purchase</t>
  </si>
  <si>
    <t>Sales</t>
  </si>
  <si>
    <t>HSN code</t>
  </si>
  <si>
    <t>Product Name</t>
  </si>
  <si>
    <t>Vendor</t>
  </si>
  <si>
    <t>Date</t>
  </si>
  <si>
    <t>Units</t>
  </si>
  <si>
    <t>Amount</t>
  </si>
  <si>
    <t>Customer name</t>
  </si>
  <si>
    <t>HSN_Code</t>
  </si>
  <si>
    <t>Stock(Units)</t>
  </si>
  <si>
    <t xml:space="preserve">Price </t>
  </si>
  <si>
    <t>P Units</t>
  </si>
  <si>
    <t>S Units</t>
  </si>
  <si>
    <t>Stock</t>
  </si>
  <si>
    <t>Stock Amount</t>
  </si>
  <si>
    <t>N1011</t>
  </si>
  <si>
    <t>Mouse</t>
  </si>
  <si>
    <t>Row Labels</t>
  </si>
  <si>
    <t>Grand Total</t>
  </si>
  <si>
    <t>Count of Name</t>
  </si>
  <si>
    <t>Total Customers</t>
  </si>
  <si>
    <t>Count of PName</t>
  </si>
  <si>
    <t>Total Products</t>
  </si>
  <si>
    <t>Sum of Amount</t>
  </si>
  <si>
    <t>Purchase Amt</t>
  </si>
  <si>
    <t>Sales Amt</t>
  </si>
  <si>
    <t>profit/Loss</t>
  </si>
  <si>
    <t>Sum of Stock Amount</t>
  </si>
  <si>
    <t>Stock Amt</t>
  </si>
  <si>
    <t>Sum of S Units</t>
  </si>
  <si>
    <t>Notification</t>
  </si>
  <si>
    <t>Notifications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</si>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</sst>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&quot;₹&quot;\ #,##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0" fontId="0" fillId="2" borderId="0" xfId="0" applyNumberForma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0" fontId="4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4" borderId="0" xfId="0" applyFont="1" applyFill="1"/>
    <xf numFmtId="3" fontId="0" fillId="0" borderId="0" xfId="0" applyNumberFormat="1"/>
    <xf numFmtId="0" fontId="0" fillId="2" borderId="0" xfId="0" applyFont="1" applyFill="1"/>
    <xf numFmtId="0" fontId="3" fillId="2" borderId="0" xfId="0" applyFont="1" applyFill="1"/>
    <xf numFmtId="0" fontId="3" fillId="4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3" formatCode="#,##0"/>
    </dxf>
    <dxf>
      <numFmt numFmtId="4" formatCode="#,##0.00"/>
    </dxf>
    <dxf>
      <numFmt numFmtId="0" formatCode="General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1" defaultTableStyle="TableStyleMedium2" defaultPivotStyle="PivotStyleLight16">
    <tableStyle name="Invisible" pivot="0" table="0" count="0" xr9:uid="{8A442E4A-E20A-4F21-8E15-B04400B926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[IMS.xlsx]pivots!PivotTable6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pivots!$E$2:$E$7</c:f>
              <c:strCache>
                <c:ptCount val="5"/>
                <c:pt idx="0">
                  <c:v>Portable Bluetooth Speaker</c:v>
                </c:pt>
                <c:pt idx="1">
                  <c:v>Ergonomic Wireless Mouse</c:v>
                </c:pt>
                <c:pt idx="2">
                  <c:v>Smartphone 128GB</c:v>
                </c:pt>
                <c:pt idx="3">
                  <c:v>20000mAh Fast Charging Power Bank</c:v>
                </c:pt>
                <c:pt idx="4">
                  <c:v>Mouse</c:v>
                </c:pt>
              </c:strCache>
            </c:strRef>
          </c:cat>
          <c:val>
            <c:numRef>
              <c:f>pivots!$F$2:$F$7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0-47ED-955E-B21093A2D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095025439"/>
        <c:axId val="2138973519"/>
      </c:barChart>
      <c:catAx>
        <c:axId val="209502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73519"/>
        <c:crosses val="autoZero"/>
        <c:auto val="1"/>
        <c:lblAlgn val="ctr"/>
        <c:lblOffset val="100"/>
        <c:noMultiLvlLbl val="0"/>
      </c:catAx>
      <c:valAx>
        <c:axId val="213897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2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[IMS.xlsx]pivots!PivotTable7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657760389291282"/>
                  <c:h val="8.2086924048912907E-2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57760389291282"/>
                      <c:h val="8.20869240489129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8D3-4551-8B27-809ADEDA62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pivots!$E$10:$E$15</c:f>
              <c:strCache>
                <c:ptCount val="5"/>
                <c:pt idx="0">
                  <c:v>Aarav Sharma</c:v>
                </c:pt>
                <c:pt idx="1">
                  <c:v>Ananya Iyer</c:v>
                </c:pt>
                <c:pt idx="2">
                  <c:v>Kabir Mehta</c:v>
                </c:pt>
                <c:pt idx="3">
                  <c:v>Priya Patel</c:v>
                </c:pt>
                <c:pt idx="4">
                  <c:v>Rohan Verma</c:v>
                </c:pt>
              </c:strCache>
            </c:strRef>
          </c:cat>
          <c:val>
            <c:numRef>
              <c:f>pivots!$F$10:$F$15</c:f>
              <c:numCache>
                <c:formatCode>#,##0</c:formatCode>
                <c:ptCount val="5"/>
                <c:pt idx="0">
                  <c:v>13499</c:v>
                </c:pt>
                <c:pt idx="1">
                  <c:v>14895</c:v>
                </c:pt>
                <c:pt idx="2">
                  <c:v>43874</c:v>
                </c:pt>
                <c:pt idx="3">
                  <c:v>113996</c:v>
                </c:pt>
                <c:pt idx="4">
                  <c:v>124995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3-4551-8B27-809ADEDA62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929365567"/>
        <c:axId val="2139063279"/>
      </c:barChart>
      <c:catAx>
        <c:axId val="1929365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63279"/>
        <c:crosses val="autoZero"/>
        <c:auto val="1"/>
        <c:lblAlgn val="ctr"/>
        <c:lblOffset val="100"/>
        <c:noMultiLvlLbl val="0"/>
      </c:catAx>
      <c:valAx>
        <c:axId val="2139063279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92936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[IMS.xlsx]pivots!PivotTable8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Per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pivots!$A$21:$A$32</c:f>
              <c:strCache>
                <c:ptCount val="11"/>
                <c:pt idx="0">
                  <c:v>20000mAh Fast Charging Power Bank</c:v>
                </c:pt>
                <c:pt idx="1">
                  <c:v>27" Full HD Monitor</c:v>
                </c:pt>
                <c:pt idx="2">
                  <c:v>43" 4K Smart TV</c:v>
                </c:pt>
                <c:pt idx="3">
                  <c:v>Business Laptop 15.6"</c:v>
                </c:pt>
                <c:pt idx="4">
                  <c:v>Dual-Band Wi-Fi Router</c:v>
                </c:pt>
                <c:pt idx="5">
                  <c:v>Ergonomic Wireless Mouse</c:v>
                </c:pt>
                <c:pt idx="6">
                  <c:v>Mechanical Gaming Keyboard</c:v>
                </c:pt>
                <c:pt idx="7">
                  <c:v>Mouse</c:v>
                </c:pt>
                <c:pt idx="8">
                  <c:v>Portable Bluetooth Speaker</c:v>
                </c:pt>
                <c:pt idx="9">
                  <c:v>Smartphone 128GB</c:v>
                </c:pt>
                <c:pt idx="10">
                  <c:v>Wireless Earbuds</c:v>
                </c:pt>
              </c:strCache>
            </c:strRef>
          </c:cat>
          <c:val>
            <c:numRef>
              <c:f>pivots!$B$21:$B$32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3</c:v>
                </c:pt>
                <c:pt idx="7">
                  <c:v>30</c:v>
                </c:pt>
                <c:pt idx="8">
                  <c:v>4</c:v>
                </c:pt>
                <c:pt idx="9">
                  <c:v>36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0-487D-BC36-FD7C6C652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99038559"/>
        <c:axId val="2023402927"/>
      </c:barChart>
      <c:catAx>
        <c:axId val="209903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402927"/>
        <c:crosses val="autoZero"/>
        <c:auto val="1"/>
        <c:lblAlgn val="ctr"/>
        <c:lblOffset val="100"/>
        <c:noMultiLvlLbl val="0"/>
      </c:catAx>
      <c:valAx>
        <c:axId val="202340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38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1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24.svg"/><Relationship Id="rId20" Type="http://schemas.openxmlformats.org/officeDocument/2006/relationships/image" Target="../media/image2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0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23.svg"/><Relationship Id="rId22" Type="http://schemas.openxmlformats.org/officeDocument/2006/relationships/image" Target="../media/image27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32.png"/><Relationship Id="rId7" Type="http://schemas.openxmlformats.org/officeDocument/2006/relationships/hyperlink" Target="#'New Entry'!A1"/><Relationship Id="rId12" Type="http://schemas.openxmlformats.org/officeDocument/2006/relationships/image" Target="../media/image3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24.svg"/><Relationship Id="rId20" Type="http://schemas.openxmlformats.org/officeDocument/2006/relationships/image" Target="../media/image2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33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3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24.svg"/><Relationship Id="rId20" Type="http://schemas.openxmlformats.org/officeDocument/2006/relationships/image" Target="../media/image3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35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27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3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38.svg"/><Relationship Id="rId20" Type="http://schemas.openxmlformats.org/officeDocument/2006/relationships/image" Target="../media/image2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3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27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3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40.svg"/><Relationship Id="rId16" Type="http://schemas.openxmlformats.org/officeDocument/2006/relationships/image" Target="../media/image24.svg"/><Relationship Id="rId20" Type="http://schemas.openxmlformats.org/officeDocument/2006/relationships/image" Target="../media/image26.svg"/><Relationship Id="rId1" Type="http://schemas.openxmlformats.org/officeDocument/2006/relationships/image" Target="../media/image39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27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4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34.svg"/><Relationship Id="rId17" Type="http://schemas.openxmlformats.org/officeDocument/2006/relationships/image" Target="../media/image41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24.svg"/><Relationship Id="rId20" Type="http://schemas.openxmlformats.org/officeDocument/2006/relationships/image" Target="../media/image2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28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27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22.png"/><Relationship Id="rId18" Type="http://schemas.openxmlformats.org/officeDocument/2006/relationships/image" Target="../media/image25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3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19.svg"/><Relationship Id="rId16" Type="http://schemas.openxmlformats.org/officeDocument/2006/relationships/image" Target="../media/image24.svg"/><Relationship Id="rId20" Type="http://schemas.openxmlformats.org/officeDocument/2006/relationships/image" Target="../media/image26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29.png"/><Relationship Id="rId24" Type="http://schemas.openxmlformats.org/officeDocument/2006/relationships/image" Target="../media/image44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43.png"/><Relationship Id="rId10" Type="http://schemas.openxmlformats.org/officeDocument/2006/relationships/hyperlink" Target="#'Inventory '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1.svg"/><Relationship Id="rId22" Type="http://schemas.openxmlformats.org/officeDocument/2006/relationships/image" Target="../media/image2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89842</xdr:rowOff>
    </xdr:from>
    <xdr:to>
      <xdr:col>1</xdr:col>
      <xdr:colOff>502705</xdr:colOff>
      <xdr:row>20</xdr:row>
      <xdr:rowOff>158570</xdr:rowOff>
    </xdr:to>
    <xdr:pic>
      <xdr:nvPicPr>
        <xdr:cNvPr id="3" name="Graphic 2" descr="Checklist with solid fill">
          <a:extLst>
            <a:ext uri="{FF2B5EF4-FFF2-40B4-BE49-F238E27FC236}">
              <a16:creationId xmlns:a16="http://schemas.microsoft.com/office/drawing/2014/main" id="{5C7C73A7-864F-3207-F63E-2A3704B76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975" y="3474514"/>
          <a:ext cx="252831" cy="249634"/>
        </a:xfrm>
        <a:prstGeom prst="rect">
          <a:avLst/>
        </a:prstGeom>
      </xdr:spPr>
    </xdr:pic>
    <xdr:clientData/>
  </xdr:twoCellAnchor>
  <xdr:twoCellAnchor editAs="absolute"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94856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C94362-E415-750F-D85B-FA10D687A267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89513</xdr:rowOff>
    </xdr:from>
    <xdr:to>
      <xdr:col>1</xdr:col>
      <xdr:colOff>1577340</xdr:colOff>
      <xdr:row>13</xdr:row>
      <xdr:rowOff>60172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1DB6A4-01EE-ED4B-3350-96315FBB847F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13</xdr:row>
      <xdr:rowOff>14490</xdr:rowOff>
    </xdr:from>
    <xdr:to>
      <xdr:col>1</xdr:col>
      <xdr:colOff>1577340</xdr:colOff>
      <xdr:row>14</xdr:row>
      <xdr:rowOff>160321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27A966-6C96-126F-0C2D-0379E3179086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115690</xdr:rowOff>
    </xdr:from>
    <xdr:to>
      <xdr:col>1</xdr:col>
      <xdr:colOff>1577340</xdr:colOff>
      <xdr:row>16</xdr:row>
      <xdr:rowOff>77589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3C0EA6-2480-CD5B-E3CF-C683E12E159C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16</xdr:row>
      <xdr:rowOff>31907</xdr:rowOff>
    </xdr:from>
    <xdr:to>
      <xdr:col>1</xdr:col>
      <xdr:colOff>1577340</xdr:colOff>
      <xdr:row>17</xdr:row>
      <xdr:rowOff>177738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73B8D0E-FDB9-ACBA-5A38-471C905A13F4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133107</xdr:rowOff>
    </xdr:from>
    <xdr:to>
      <xdr:col>1</xdr:col>
      <xdr:colOff>1577340</xdr:colOff>
      <xdr:row>19</xdr:row>
      <xdr:rowOff>95007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EC71F1-6E90-CABE-1737-9D6814417810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49325</xdr:rowOff>
    </xdr:from>
    <xdr:to>
      <xdr:col>1</xdr:col>
      <xdr:colOff>1577340</xdr:colOff>
      <xdr:row>21</xdr:row>
      <xdr:rowOff>11225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4226A63-80D9-7A7E-0388-AF1E0465615D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150525</xdr:rowOff>
    </xdr:from>
    <xdr:to>
      <xdr:col>1</xdr:col>
      <xdr:colOff>1577340</xdr:colOff>
      <xdr:row>22</xdr:row>
      <xdr:rowOff>112425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70EF41-0746-2E53-B1B0-98E90EC3D93A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67791</xdr:rowOff>
    </xdr:from>
    <xdr:to>
      <xdr:col>1</xdr:col>
      <xdr:colOff>1577340</xdr:colOff>
      <xdr:row>24</xdr:row>
      <xdr:rowOff>28641</xdr:rowOff>
    </xdr:to>
    <xdr:sp macro="" textlink="">
      <xdr:nvSpPr>
        <xdr:cNvPr id="12" name="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0B360C1-77D1-9885-401D-F77F7A8266D2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89428</xdr:rowOff>
    </xdr:from>
    <xdr:to>
      <xdr:col>1</xdr:col>
      <xdr:colOff>502990</xdr:colOff>
      <xdr:row>14</xdr:row>
      <xdr:rowOff>160956</xdr:rowOff>
    </xdr:to>
    <xdr:pic>
      <xdr:nvPicPr>
        <xdr:cNvPr id="23" name="Graphic 22" descr="Target Audience with solid fill">
          <a:extLst>
            <a:ext uri="{FF2B5EF4-FFF2-40B4-BE49-F238E27FC236}">
              <a16:creationId xmlns:a16="http://schemas.microsoft.com/office/drawing/2014/main" id="{F36A4199-23F5-B183-8D5A-F25D42F84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3975" y="2388660"/>
          <a:ext cx="253116" cy="25243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151548</xdr:rowOff>
    </xdr:from>
    <xdr:to>
      <xdr:col>1</xdr:col>
      <xdr:colOff>508000</xdr:colOff>
      <xdr:row>13</xdr:row>
      <xdr:rowOff>35342</xdr:rowOff>
    </xdr:to>
    <xdr:pic>
      <xdr:nvPicPr>
        <xdr:cNvPr id="27" name="Graphic 26" descr="Presentation with bar chart with solid fill">
          <a:extLst>
            <a:ext uri="{FF2B5EF4-FFF2-40B4-BE49-F238E27FC236}">
              <a16:creationId xmlns:a16="http://schemas.microsoft.com/office/drawing/2014/main" id="{93E05551-D8DD-AB47-A931-0C240E58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3975" y="2097726"/>
          <a:ext cx="258126" cy="256189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175932</xdr:rowOff>
    </xdr:from>
    <xdr:to>
      <xdr:col>1</xdr:col>
      <xdr:colOff>492283</xdr:colOff>
      <xdr:row>19</xdr:row>
      <xdr:rowOff>55097</xdr:rowOff>
    </xdr:to>
    <xdr:pic>
      <xdr:nvPicPr>
        <xdr:cNvPr id="31" name="Graphic 30" descr="Clipboard with solid fill">
          <a:extLst>
            <a:ext uri="{FF2B5EF4-FFF2-40B4-BE49-F238E27FC236}">
              <a16:creationId xmlns:a16="http://schemas.microsoft.com/office/drawing/2014/main" id="{96E46F94-7C73-814A-F2A7-EDD9A02F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3975" y="3198791"/>
          <a:ext cx="242409" cy="24097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21</xdr:row>
      <xdr:rowOff>9384</xdr:rowOff>
    </xdr:from>
    <xdr:to>
      <xdr:col>1</xdr:col>
      <xdr:colOff>481732</xdr:colOff>
      <xdr:row>22</xdr:row>
      <xdr:rowOff>61116</xdr:rowOff>
    </xdr:to>
    <xdr:pic>
      <xdr:nvPicPr>
        <xdr:cNvPr id="33" name="Graphic 32" descr="Coins with solid fill">
          <a:extLst>
            <a:ext uri="{FF2B5EF4-FFF2-40B4-BE49-F238E27FC236}">
              <a16:creationId xmlns:a16="http://schemas.microsoft.com/office/drawing/2014/main" id="{C89B8F6B-3D67-5807-F441-8CD678164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3975" y="3758893"/>
          <a:ext cx="231858" cy="229614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106051</xdr:rowOff>
    </xdr:from>
    <xdr:to>
      <xdr:col>1</xdr:col>
      <xdr:colOff>467591</xdr:colOff>
      <xdr:row>17</xdr:row>
      <xdr:rowOff>141188</xdr:rowOff>
    </xdr:to>
    <xdr:pic>
      <xdr:nvPicPr>
        <xdr:cNvPr id="35" name="Graphic 34" descr="Users with solid fill">
          <a:extLst>
            <a:ext uri="{FF2B5EF4-FFF2-40B4-BE49-F238E27FC236}">
              <a16:creationId xmlns:a16="http://schemas.microsoft.com/office/drawing/2014/main" id="{D036D1B0-75F2-344F-A621-82614023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3975" y="2948004"/>
          <a:ext cx="217717" cy="216042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15</xdr:row>
      <xdr:rowOff>11769</xdr:rowOff>
    </xdr:from>
    <xdr:to>
      <xdr:col>1</xdr:col>
      <xdr:colOff>488462</xdr:colOff>
      <xdr:row>16</xdr:row>
      <xdr:rowOff>71305</xdr:rowOff>
    </xdr:to>
    <xdr:pic>
      <xdr:nvPicPr>
        <xdr:cNvPr id="37" name="Graphic 36" descr="Document with solid fill">
          <a:extLst>
            <a:ext uri="{FF2B5EF4-FFF2-40B4-BE49-F238E27FC236}">
              <a16:creationId xmlns:a16="http://schemas.microsoft.com/office/drawing/2014/main" id="{B4F0A05A-1ED4-E676-69FF-BB80F128D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3975" y="2675840"/>
          <a:ext cx="238588" cy="237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95862</xdr:rowOff>
    </xdr:from>
    <xdr:to>
      <xdr:col>1</xdr:col>
      <xdr:colOff>519110</xdr:colOff>
      <xdr:row>24</xdr:row>
      <xdr:rowOff>1446</xdr:rowOff>
    </xdr:to>
    <xdr:pic>
      <xdr:nvPicPr>
        <xdr:cNvPr id="39" name="Graphic 38" descr="Database with solid fill">
          <a:extLst>
            <a:ext uri="{FF2B5EF4-FFF2-40B4-BE49-F238E27FC236}">
              <a16:creationId xmlns:a16="http://schemas.microsoft.com/office/drawing/2014/main" id="{58C1E3EB-E594-0974-E3C5-35BE49D9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3975" y="4023253"/>
          <a:ext cx="269236" cy="270421"/>
        </a:xfrm>
        <a:prstGeom prst="rect">
          <a:avLst/>
        </a:prstGeom>
      </xdr:spPr>
    </xdr:pic>
    <xdr:clientData/>
  </xdr:twoCellAnchor>
  <xdr:twoCellAnchor editAs="absolute">
    <xdr:from>
      <xdr:col>3</xdr:col>
      <xdr:colOff>22860</xdr:colOff>
      <xdr:row>5</xdr:row>
      <xdr:rowOff>99060</xdr:rowOff>
    </xdr:from>
    <xdr:to>
      <xdr:col>4</xdr:col>
      <xdr:colOff>1051560</xdr:colOff>
      <xdr:row>9</xdr:row>
      <xdr:rowOff>45720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D768E63-A3BA-31E4-5152-AEF206EA5C37}"/>
            </a:ext>
          </a:extLst>
        </xdr:cNvPr>
        <xdr:cNvSpPr/>
      </xdr:nvSpPr>
      <xdr:spPr>
        <a:xfrm>
          <a:off x="2423160" y="101346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Customers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41" name="Graphic 40" descr="Presentation with pie chart with solid fill">
          <a:extLst>
            <a:ext uri="{FF2B5EF4-FFF2-40B4-BE49-F238E27FC236}">
              <a16:creationId xmlns:a16="http://schemas.microsoft.com/office/drawing/2014/main" id="{AD50B983-AE84-A5AF-B401-1BF48AB89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4728" y="199035"/>
          <a:ext cx="815060" cy="825643"/>
        </a:xfrm>
        <a:prstGeom prst="rect">
          <a:avLst/>
        </a:prstGeom>
      </xdr:spPr>
    </xdr:pic>
    <xdr:clientData/>
  </xdr:twoCellAnchor>
  <xdr:twoCellAnchor editAs="absolute">
    <xdr:from>
      <xdr:col>3</xdr:col>
      <xdr:colOff>17833</xdr:colOff>
      <xdr:row>1</xdr:row>
      <xdr:rowOff>960</xdr:rowOff>
    </xdr:from>
    <xdr:to>
      <xdr:col>13</xdr:col>
      <xdr:colOff>8759</xdr:colOff>
      <xdr:row>5</xdr:row>
      <xdr:rowOff>328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74E45DE-E202-4C28-B2AC-9A305CDE9BDB}"/>
            </a:ext>
          </a:extLst>
        </xdr:cNvPr>
        <xdr:cNvSpPr/>
      </xdr:nvSpPr>
      <xdr:spPr>
        <a:xfrm>
          <a:off x="2413900" y="187227"/>
          <a:ext cx="9587075" cy="744434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Inventory Management</a:t>
          </a:r>
          <a:r>
            <a:rPr lang="en-IN" sz="2400" b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System</a:t>
          </a:r>
          <a:endParaRPr lang="en-IN" sz="2400" b="0">
            <a:solidFill>
              <a:schemeClr val="tx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absolute">
    <xdr:from>
      <xdr:col>3</xdr:col>
      <xdr:colOff>22860</xdr:colOff>
      <xdr:row>5</xdr:row>
      <xdr:rowOff>99060</xdr:rowOff>
    </xdr:from>
    <xdr:to>
      <xdr:col>3</xdr:col>
      <xdr:colOff>129540</xdr:colOff>
      <xdr:row>9</xdr:row>
      <xdr:rowOff>45720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05B9C18-5B1B-5D0C-2827-3CFB9BC83CD0}"/>
            </a:ext>
          </a:extLst>
        </xdr:cNvPr>
        <xdr:cNvSpPr/>
      </xdr:nvSpPr>
      <xdr:spPr>
        <a:xfrm>
          <a:off x="2423160" y="1013460"/>
          <a:ext cx="106680" cy="6781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175260</xdr:colOff>
      <xdr:row>7</xdr:row>
      <xdr:rowOff>30480</xdr:rowOff>
    </xdr:from>
    <xdr:to>
      <xdr:col>4</xdr:col>
      <xdr:colOff>1043940</xdr:colOff>
      <xdr:row>9</xdr:row>
      <xdr:rowOff>22860</xdr:rowOff>
    </xdr:to>
    <xdr:sp macro="" textlink="pivots!C2">
      <xdr:nvSpPr>
        <xdr:cNvPr id="46" name="Rectangle 45">
          <a:extLst>
            <a:ext uri="{FF2B5EF4-FFF2-40B4-BE49-F238E27FC236}">
              <a16:creationId xmlns:a16="http://schemas.microsoft.com/office/drawing/2014/main" id="{13C422ED-CF8E-9387-A6DB-B7E596F881FD}"/>
            </a:ext>
          </a:extLst>
        </xdr:cNvPr>
        <xdr:cNvSpPr/>
      </xdr:nvSpPr>
      <xdr:spPr>
        <a:xfrm>
          <a:off x="2575560" y="131064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C14CCE3E-92F0-425D-A7A9-96ED7C8394CF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6</a:t>
          </a:fld>
          <a:endParaRPr lang="en-IN" sz="2000"/>
        </a:p>
      </xdr:txBody>
    </xdr:sp>
    <xdr:clientData/>
  </xdr:twoCellAnchor>
  <xdr:twoCellAnchor editAs="absolute">
    <xdr:from>
      <xdr:col>5</xdr:col>
      <xdr:colOff>15240</xdr:colOff>
      <xdr:row>5</xdr:row>
      <xdr:rowOff>99060</xdr:rowOff>
    </xdr:from>
    <xdr:to>
      <xdr:col>5</xdr:col>
      <xdr:colOff>1554480</xdr:colOff>
      <xdr:row>9</xdr:row>
      <xdr:rowOff>45720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14306A0-BEC7-9DF9-5C8E-AD4C02F9FB11}"/>
            </a:ext>
          </a:extLst>
        </xdr:cNvPr>
        <xdr:cNvSpPr/>
      </xdr:nvSpPr>
      <xdr:spPr>
        <a:xfrm>
          <a:off x="4030980" y="101346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Products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15240</xdr:colOff>
      <xdr:row>5</xdr:row>
      <xdr:rowOff>99060</xdr:rowOff>
    </xdr:from>
    <xdr:to>
      <xdr:col>5</xdr:col>
      <xdr:colOff>121920</xdr:colOff>
      <xdr:row>9</xdr:row>
      <xdr:rowOff>45720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CA3CC21-5541-F627-CE25-AD744FB0F8F3}"/>
            </a:ext>
          </a:extLst>
        </xdr:cNvPr>
        <xdr:cNvSpPr/>
      </xdr:nvSpPr>
      <xdr:spPr>
        <a:xfrm>
          <a:off x="4030980" y="1013460"/>
          <a:ext cx="106680" cy="6781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167640</xdr:colOff>
      <xdr:row>7</xdr:row>
      <xdr:rowOff>30480</xdr:rowOff>
    </xdr:from>
    <xdr:to>
      <xdr:col>5</xdr:col>
      <xdr:colOff>1546860</xdr:colOff>
      <xdr:row>9</xdr:row>
      <xdr:rowOff>22860</xdr:rowOff>
    </xdr:to>
    <xdr:sp macro="" textlink="pivots!C5">
      <xdr:nvSpPr>
        <xdr:cNvPr id="49" name="Rectangle 48">
          <a:extLst>
            <a:ext uri="{FF2B5EF4-FFF2-40B4-BE49-F238E27FC236}">
              <a16:creationId xmlns:a16="http://schemas.microsoft.com/office/drawing/2014/main" id="{36F85148-7892-5A1D-D0CC-08122F06E2EC}"/>
            </a:ext>
          </a:extLst>
        </xdr:cNvPr>
        <xdr:cNvSpPr/>
      </xdr:nvSpPr>
      <xdr:spPr>
        <a:xfrm>
          <a:off x="4183380" y="131064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C45C2556-02A9-419F-8016-977CB24534D6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11</a:t>
          </a:fld>
          <a:endParaRPr lang="en-IN" sz="3600"/>
        </a:p>
      </xdr:txBody>
    </xdr:sp>
    <xdr:clientData/>
  </xdr:twoCellAnchor>
  <xdr:twoCellAnchor editAs="absolute">
    <xdr:from>
      <xdr:col>5</xdr:col>
      <xdr:colOff>1623060</xdr:colOff>
      <xdr:row>5</xdr:row>
      <xdr:rowOff>99060</xdr:rowOff>
    </xdr:from>
    <xdr:to>
      <xdr:col>5</xdr:col>
      <xdr:colOff>3164840</xdr:colOff>
      <xdr:row>9</xdr:row>
      <xdr:rowOff>45720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FB943EB-8C52-F9A7-B6B6-EF5A97185149}"/>
            </a:ext>
          </a:extLst>
        </xdr:cNvPr>
        <xdr:cNvSpPr/>
      </xdr:nvSpPr>
      <xdr:spPr>
        <a:xfrm>
          <a:off x="5638800" y="101346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Purchase</a:t>
          </a:r>
          <a:r>
            <a:rPr lang="en-IN" sz="1600" baseline="0">
              <a:solidFill>
                <a:schemeClr val="tx1"/>
              </a:solidFill>
            </a:rPr>
            <a:t> amt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1623060</xdr:colOff>
      <xdr:row>5</xdr:row>
      <xdr:rowOff>99060</xdr:rowOff>
    </xdr:from>
    <xdr:to>
      <xdr:col>5</xdr:col>
      <xdr:colOff>1729740</xdr:colOff>
      <xdr:row>9</xdr:row>
      <xdr:rowOff>45720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DF194CB-3794-9010-0FBE-43FECDF11A9E}"/>
            </a:ext>
          </a:extLst>
        </xdr:cNvPr>
        <xdr:cNvSpPr/>
      </xdr:nvSpPr>
      <xdr:spPr>
        <a:xfrm>
          <a:off x="5638800" y="1013460"/>
          <a:ext cx="106680" cy="678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1775460</xdr:colOff>
      <xdr:row>7</xdr:row>
      <xdr:rowOff>30480</xdr:rowOff>
    </xdr:from>
    <xdr:to>
      <xdr:col>5</xdr:col>
      <xdr:colOff>3157220</xdr:colOff>
      <xdr:row>9</xdr:row>
      <xdr:rowOff>22860</xdr:rowOff>
    </xdr:to>
    <xdr:sp macro="" textlink="pivots!C8">
      <xdr:nvSpPr>
        <xdr:cNvPr id="52" name="Rectangle 51">
          <a:extLst>
            <a:ext uri="{FF2B5EF4-FFF2-40B4-BE49-F238E27FC236}">
              <a16:creationId xmlns:a16="http://schemas.microsoft.com/office/drawing/2014/main" id="{7690BFEC-4E1D-CBB4-ED78-83808F83762D}"/>
            </a:ext>
          </a:extLst>
        </xdr:cNvPr>
        <xdr:cNvSpPr/>
      </xdr:nvSpPr>
      <xdr:spPr>
        <a:xfrm>
          <a:off x="5791200" y="131064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DA1C291E-9F2E-46AC-BF5A-CAE659267F3C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9,62,900</a:t>
          </a:fld>
          <a:endParaRPr lang="en-IN" sz="5400"/>
        </a:p>
      </xdr:txBody>
    </xdr:sp>
    <xdr:clientData/>
  </xdr:twoCellAnchor>
  <xdr:twoCellAnchor editAs="absolute">
    <xdr:from>
      <xdr:col>5</xdr:col>
      <xdr:colOff>3233420</xdr:colOff>
      <xdr:row>5</xdr:row>
      <xdr:rowOff>99060</xdr:rowOff>
    </xdr:from>
    <xdr:to>
      <xdr:col>7</xdr:col>
      <xdr:colOff>175863</xdr:colOff>
      <xdr:row>9</xdr:row>
      <xdr:rowOff>45720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195207C-0845-B490-C523-6257D7BB5BB7}"/>
            </a:ext>
          </a:extLst>
        </xdr:cNvPr>
        <xdr:cNvSpPr/>
      </xdr:nvSpPr>
      <xdr:spPr>
        <a:xfrm>
          <a:off x="7246620" y="101346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Sales</a:t>
          </a:r>
          <a:r>
            <a:rPr lang="en-IN" sz="1600" baseline="0">
              <a:solidFill>
                <a:schemeClr val="tx1"/>
              </a:solidFill>
            </a:rPr>
            <a:t> amt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3233420</xdr:colOff>
      <xdr:row>5</xdr:row>
      <xdr:rowOff>99060</xdr:rowOff>
    </xdr:from>
    <xdr:to>
      <xdr:col>6</xdr:col>
      <xdr:colOff>21167</xdr:colOff>
      <xdr:row>9</xdr:row>
      <xdr:rowOff>45720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2C77C548-9376-CC6A-0A4A-110D678A3C86}"/>
            </a:ext>
          </a:extLst>
        </xdr:cNvPr>
        <xdr:cNvSpPr/>
      </xdr:nvSpPr>
      <xdr:spPr>
        <a:xfrm>
          <a:off x="7246620" y="1013460"/>
          <a:ext cx="106680" cy="678180"/>
        </a:xfrm>
        <a:prstGeom prst="rect">
          <a:avLst/>
        </a:prstGeom>
        <a:solidFill>
          <a:schemeClr val="bg1">
            <a:lumMod val="85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6</xdr:col>
      <xdr:colOff>66887</xdr:colOff>
      <xdr:row>7</xdr:row>
      <xdr:rowOff>30480</xdr:rowOff>
    </xdr:from>
    <xdr:to>
      <xdr:col>7</xdr:col>
      <xdr:colOff>168243</xdr:colOff>
      <xdr:row>9</xdr:row>
      <xdr:rowOff>22860</xdr:rowOff>
    </xdr:to>
    <xdr:sp macro="" textlink="pivots!C11">
      <xdr:nvSpPr>
        <xdr:cNvPr id="55" name="Rectangle 54">
          <a:extLst>
            <a:ext uri="{FF2B5EF4-FFF2-40B4-BE49-F238E27FC236}">
              <a16:creationId xmlns:a16="http://schemas.microsoft.com/office/drawing/2014/main" id="{A51F7D97-140E-39BB-E40B-4E09B801D773}"/>
            </a:ext>
          </a:extLst>
        </xdr:cNvPr>
        <xdr:cNvSpPr/>
      </xdr:nvSpPr>
      <xdr:spPr>
        <a:xfrm>
          <a:off x="7399020" y="131064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EA86C3F5-C3E2-4695-A39B-A10DDD3FB127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3,11,259</a:t>
          </a:fld>
          <a:endParaRPr lang="en-IN" sz="8000"/>
        </a:p>
      </xdr:txBody>
    </xdr:sp>
    <xdr:clientData/>
  </xdr:twoCellAnchor>
  <xdr:twoCellAnchor editAs="absolute">
    <xdr:from>
      <xdr:col>7</xdr:col>
      <xdr:colOff>244443</xdr:colOff>
      <xdr:row>5</xdr:row>
      <xdr:rowOff>99060</xdr:rowOff>
    </xdr:from>
    <xdr:to>
      <xdr:col>9</xdr:col>
      <xdr:colOff>74123</xdr:colOff>
      <xdr:row>9</xdr:row>
      <xdr:rowOff>45720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5784D9C-14E8-F00F-84F0-0B0C604D0347}"/>
            </a:ext>
          </a:extLst>
        </xdr:cNvPr>
        <xdr:cNvSpPr/>
      </xdr:nvSpPr>
      <xdr:spPr>
        <a:xfrm>
          <a:off x="8854440" y="101346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Stock</a:t>
          </a:r>
          <a:r>
            <a:rPr lang="en-IN" sz="1600" baseline="0">
              <a:solidFill>
                <a:schemeClr val="tx1"/>
              </a:solidFill>
            </a:rPr>
            <a:t> amt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244443</xdr:colOff>
      <xdr:row>5</xdr:row>
      <xdr:rowOff>99060</xdr:rowOff>
    </xdr:from>
    <xdr:to>
      <xdr:col>7</xdr:col>
      <xdr:colOff>351123</xdr:colOff>
      <xdr:row>9</xdr:row>
      <xdr:rowOff>45720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0390A53-76EF-0408-1CED-66A72934D805}"/>
            </a:ext>
          </a:extLst>
        </xdr:cNvPr>
        <xdr:cNvSpPr/>
      </xdr:nvSpPr>
      <xdr:spPr>
        <a:xfrm>
          <a:off x="8854440" y="1013460"/>
          <a:ext cx="106680" cy="678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394339</xdr:colOff>
      <xdr:row>7</xdr:row>
      <xdr:rowOff>30480</xdr:rowOff>
    </xdr:from>
    <xdr:to>
      <xdr:col>9</xdr:col>
      <xdr:colOff>66503</xdr:colOff>
      <xdr:row>9</xdr:row>
      <xdr:rowOff>22860</xdr:rowOff>
    </xdr:to>
    <xdr:sp macro="" textlink="pivots!C14">
      <xdr:nvSpPr>
        <xdr:cNvPr id="58" name="Rectangle 57">
          <a:extLst>
            <a:ext uri="{FF2B5EF4-FFF2-40B4-BE49-F238E27FC236}">
              <a16:creationId xmlns:a16="http://schemas.microsoft.com/office/drawing/2014/main" id="{6BDC4377-300E-700B-78D6-8C407F3A6844}"/>
            </a:ext>
          </a:extLst>
        </xdr:cNvPr>
        <xdr:cNvSpPr/>
      </xdr:nvSpPr>
      <xdr:spPr>
        <a:xfrm>
          <a:off x="9006840" y="131064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97D3C4AE-AF89-42F8-BF14-BEC832409FB2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7,51,100</a:t>
          </a:fld>
          <a:endParaRPr lang="en-IN" sz="13800"/>
        </a:p>
      </xdr:txBody>
    </xdr:sp>
    <xdr:clientData/>
  </xdr:twoCellAnchor>
  <xdr:twoCellAnchor editAs="absolute">
    <xdr:from>
      <xdr:col>9</xdr:col>
      <xdr:colOff>144253</xdr:colOff>
      <xdr:row>5</xdr:row>
      <xdr:rowOff>106680</xdr:rowOff>
    </xdr:from>
    <xdr:to>
      <xdr:col>13</xdr:col>
      <xdr:colOff>8759</xdr:colOff>
      <xdr:row>9</xdr:row>
      <xdr:rowOff>53340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BEA4078B-D2C1-6C8A-8608-83F370EBFEB1}"/>
            </a:ext>
          </a:extLst>
        </xdr:cNvPr>
        <xdr:cNvSpPr/>
      </xdr:nvSpPr>
      <xdr:spPr>
        <a:xfrm>
          <a:off x="10462260" y="1021080"/>
          <a:ext cx="1539240" cy="67818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chemeClr val="tx1"/>
              </a:solidFill>
            </a:rPr>
            <a:t>  Profit</a:t>
          </a:r>
          <a:r>
            <a:rPr lang="en-IN" sz="1600" baseline="0">
              <a:solidFill>
                <a:schemeClr val="tx1"/>
              </a:solidFill>
            </a:rPr>
            <a:t> / Loss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144253</xdr:colOff>
      <xdr:row>5</xdr:row>
      <xdr:rowOff>106680</xdr:rowOff>
    </xdr:from>
    <xdr:to>
      <xdr:col>9</xdr:col>
      <xdr:colOff>253079</xdr:colOff>
      <xdr:row>9</xdr:row>
      <xdr:rowOff>53340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21E2DE6-0979-4D4E-A6D2-AE9DFF3788FE}"/>
            </a:ext>
          </a:extLst>
        </xdr:cNvPr>
        <xdr:cNvSpPr/>
      </xdr:nvSpPr>
      <xdr:spPr>
        <a:xfrm>
          <a:off x="10462260" y="1021080"/>
          <a:ext cx="106680" cy="67818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9</xdr:col>
      <xdr:colOff>298799</xdr:colOff>
      <xdr:row>7</xdr:row>
      <xdr:rowOff>38100</xdr:rowOff>
    </xdr:from>
    <xdr:to>
      <xdr:col>13</xdr:col>
      <xdr:colOff>8759</xdr:colOff>
      <xdr:row>9</xdr:row>
      <xdr:rowOff>30480</xdr:rowOff>
    </xdr:to>
    <xdr:sp macro="" textlink="pivots!C17">
      <xdr:nvSpPr>
        <xdr:cNvPr id="61" name="Rectangle 60">
          <a:extLst>
            <a:ext uri="{FF2B5EF4-FFF2-40B4-BE49-F238E27FC236}">
              <a16:creationId xmlns:a16="http://schemas.microsoft.com/office/drawing/2014/main" id="{8986D49B-F869-683D-791E-2400AFE0FB20}"/>
            </a:ext>
          </a:extLst>
        </xdr:cNvPr>
        <xdr:cNvSpPr/>
      </xdr:nvSpPr>
      <xdr:spPr>
        <a:xfrm>
          <a:off x="10614660" y="1318260"/>
          <a:ext cx="1379220" cy="35814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92A62650-C539-4602-913A-D218D4A39DBA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99,459</a:t>
          </a:fld>
          <a:endParaRPr lang="en-IN" sz="28700"/>
        </a:p>
      </xdr:txBody>
    </xdr:sp>
    <xdr:clientData/>
  </xdr:twoCellAnchor>
  <xdr:twoCellAnchor editAs="absolute">
    <xdr:from>
      <xdr:col>3</xdr:col>
      <xdr:colOff>16933</xdr:colOff>
      <xdr:row>10</xdr:row>
      <xdr:rowOff>17518</xdr:rowOff>
    </xdr:from>
    <xdr:to>
      <xdr:col>6</xdr:col>
      <xdr:colOff>43793</xdr:colOff>
      <xdr:row>22</xdr:row>
      <xdr:rowOff>122620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57C586B-94B5-4B5D-8D7A-C4B85C074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absolute">
    <xdr:from>
      <xdr:col>6</xdr:col>
      <xdr:colOff>175172</xdr:colOff>
      <xdr:row>10</xdr:row>
      <xdr:rowOff>16321</xdr:rowOff>
    </xdr:from>
    <xdr:to>
      <xdr:col>13</xdr:col>
      <xdr:colOff>8759</xdr:colOff>
      <xdr:row>22</xdr:row>
      <xdr:rowOff>122620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AF080DE7-C627-47E4-AD02-1C0F84DFC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absolute">
    <xdr:from>
      <xdr:col>3</xdr:col>
      <xdr:colOff>10438</xdr:colOff>
      <xdr:row>22</xdr:row>
      <xdr:rowOff>177451</xdr:rowOff>
    </xdr:from>
    <xdr:to>
      <xdr:col>6</xdr:col>
      <xdr:colOff>1273480</xdr:colOff>
      <xdr:row>42</xdr:row>
      <xdr:rowOff>35034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A8A82770-2799-403F-9668-4DF728F66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7C2A4FB4-2C3B-480C-AE7D-0B19A8708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CB5AE3-0BA0-4AF3-BB51-502B2A4796EE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6A6DDD-8F61-4A36-959D-A45B97AE4B08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2570BA-8595-4EEC-B8F1-5E11A82B5B16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7B4605-54D5-487D-83E3-53B2A402FDC0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5B4694-E9E7-4671-8928-67FF87B23A39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90F19D-775A-4781-A2E9-812E5830AA43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1411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23C776A-017D-439A-A3BC-AB494B448007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23C655-8EF0-46AF-84A8-3F1AE513972D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9B77D45-71CF-40E4-86CF-70DD417C8AD7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2F34985A-7F17-441B-9ED3-A885A8E80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24991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7A562C6B-F9B8-49DC-876D-65D346FD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E2FC7880-3F30-42AB-B675-F384E997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011857F6-5B1A-494A-9C9F-36607590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D630B824-B621-43AC-BE5C-4B8973ADE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993BAC30-20E2-4488-A4D2-24395191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4C7E7366-55A2-489A-9B08-E168C2E3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oneCell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484BA650-7051-4A1E-A2A6-A4154634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11</xdr:col>
      <xdr:colOff>38100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EB090DF-1344-45FE-B936-581118969A64}"/>
            </a:ext>
          </a:extLst>
        </xdr:cNvPr>
        <xdr:cNvSpPr/>
      </xdr:nvSpPr>
      <xdr:spPr>
        <a:xfrm>
          <a:off x="2417233" y="177799"/>
          <a:ext cx="8669867" cy="72305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1E177ABF-1749-42A0-927B-24654CF44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B8FF9E-AC6E-4642-B421-67FC775EC37B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DD15AA-095F-4581-A6A5-1F1398239A91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B85D6D-3F02-4680-9695-B59DC94E4BED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88A820-0545-4303-ABFA-4FBF3E473BC8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2BF395-22FC-4AA3-B129-9A31918E2EE7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C03189-A9B1-45BA-B882-59BF2E714697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1411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148FD56-58E4-419D-A497-EFE55E31CB21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E7EE01-225D-4AEC-85FF-18D844E12184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C7EEAF-7D9A-4E74-BF2F-0AF1FE856065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0F68EE26-059C-4AF3-8414-DFB53FC53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2131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8F01E44B-49B9-4ED5-8FFB-C07E5AB15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2E42D06D-34E2-4DC1-878D-0E6DD895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DAE20BE5-5482-4569-9A09-E982B9F12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5E7D3420-EB74-4F7A-A671-98EDFF7A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2844402D-6439-470E-A300-DF07113B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94B0B3A7-2167-4B73-825B-A8DCEB64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oneCell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919BAF4A-B1A2-4896-982C-CAC3994CA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11</xdr:col>
      <xdr:colOff>15240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F75F2E5-29C2-44D6-8A75-520F79F74329}"/>
            </a:ext>
          </a:extLst>
        </xdr:cNvPr>
        <xdr:cNvSpPr/>
      </xdr:nvSpPr>
      <xdr:spPr>
        <a:xfrm>
          <a:off x="2417233" y="177799"/>
          <a:ext cx="7176347" cy="72305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C25203AC-700E-483C-ABD3-226CD237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13CE75-6FD7-4081-8094-2DB28773924F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14AA8A-083A-4AD6-B31F-64E7A129018F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FA37B7-B73B-4B60-A285-81DD199C656A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BABB38-1EDF-43A4-A55F-6EB467D295F1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F0BFFC-A609-456E-BEC9-DDE5B2CF1AD0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9F1218-650E-4755-B45A-5FB4D0F12A30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1411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327D03-858F-415D-9B30-7C9ACAFD0A72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96C2CD-038E-47C0-9CD3-B7C918C2977A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D35B0B-885A-4C54-B890-01D4B740D615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4BDFE169-31A7-410D-A4A1-4CC6F691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2131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8ABB5C20-72EF-4843-8FC1-2C7C498C5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60CF1EE7-24DA-4743-A3D4-5E8B9F10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C1592273-B098-4007-AAD6-D0B8829B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0FFDD653-D03B-4540-9735-47C26971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800D4C3F-FEEC-4279-B67B-2A715899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4AD6E7DF-1876-495E-AF69-A6BA5D2C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oneCell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4CAEF269-8151-431B-893E-B1C0A172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11</xdr:col>
      <xdr:colOff>22860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3620B4C-FC08-4751-9812-6ADEA91D54E5}"/>
            </a:ext>
          </a:extLst>
        </xdr:cNvPr>
        <xdr:cNvSpPr/>
      </xdr:nvSpPr>
      <xdr:spPr>
        <a:xfrm>
          <a:off x="2417233" y="177799"/>
          <a:ext cx="9614747" cy="72305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18</xdr:row>
      <xdr:rowOff>120117</xdr:rowOff>
    </xdr:from>
    <xdr:to>
      <xdr:col>1</xdr:col>
      <xdr:colOff>502705</xdr:colOff>
      <xdr:row>20</xdr:row>
      <xdr:rowOff>6628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F8D6A236-20E2-44DF-8789-4E9CD2D8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 editAs="absolute"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4EFB920-CF75-4602-AC74-531665A9C656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10</xdr:row>
      <xdr:rowOff>178241</xdr:rowOff>
    </xdr:from>
    <xdr:to>
      <xdr:col>1</xdr:col>
      <xdr:colOff>1577340</xdr:colOff>
      <xdr:row>12</xdr:row>
      <xdr:rowOff>90446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D9EEE9-2058-41C9-9CA3-2C68BD43BFFD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46478</xdr:rowOff>
    </xdr:from>
    <xdr:to>
      <xdr:col>1</xdr:col>
      <xdr:colOff>1577340</xdr:colOff>
      <xdr:row>14</xdr:row>
      <xdr:rowOff>8377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33010B-C681-43CB-B33E-6D68BFF1D385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13</xdr:row>
      <xdr:rowOff>145964</xdr:rowOff>
    </xdr:from>
    <xdr:to>
      <xdr:col>1</xdr:col>
      <xdr:colOff>1577340</xdr:colOff>
      <xdr:row>15</xdr:row>
      <xdr:rowOff>107864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EBDA86-1771-49D7-ACD6-5119050F2968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63896</xdr:rowOff>
    </xdr:from>
    <xdr:to>
      <xdr:col>1</xdr:col>
      <xdr:colOff>1577340</xdr:colOff>
      <xdr:row>17</xdr:row>
      <xdr:rowOff>25796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020AD3-ABC3-4D58-8DB5-358B032A05A8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16</xdr:row>
      <xdr:rowOff>163382</xdr:rowOff>
    </xdr:from>
    <xdr:to>
      <xdr:col>1</xdr:col>
      <xdr:colOff>1577340</xdr:colOff>
      <xdr:row>18</xdr:row>
      <xdr:rowOff>125282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F3C431-ABE2-4156-B345-E0B9E7524B21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18</xdr:row>
      <xdr:rowOff>84237</xdr:rowOff>
    </xdr:from>
    <xdr:to>
      <xdr:col>1</xdr:col>
      <xdr:colOff>1577340</xdr:colOff>
      <xdr:row>20</xdr:row>
      <xdr:rowOff>43214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F784AF7-7A1E-428E-82E2-8162C8297F82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180800</xdr:rowOff>
    </xdr:from>
    <xdr:to>
      <xdr:col>1</xdr:col>
      <xdr:colOff>1577340</xdr:colOff>
      <xdr:row>21</xdr:row>
      <xdr:rowOff>142700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DD38C2-4497-429C-AECC-0274EB7F0621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21</xdr:row>
      <xdr:rowOff>98066</xdr:rowOff>
    </xdr:from>
    <xdr:to>
      <xdr:col>1</xdr:col>
      <xdr:colOff>1577340</xdr:colOff>
      <xdr:row>23</xdr:row>
      <xdr:rowOff>60629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2D450F-A28C-4325-B375-306B98D5C8DB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12</xdr:row>
      <xdr:rowOff>119702</xdr:rowOff>
    </xdr:from>
    <xdr:to>
      <xdr:col>1</xdr:col>
      <xdr:colOff>502990</xdr:colOff>
      <xdr:row>14</xdr:row>
      <xdr:rowOff>9012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91982184-69A6-47B2-B037-ADFA50239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58059</xdr:rowOff>
    </xdr:from>
    <xdr:to>
      <xdr:col>1</xdr:col>
      <xdr:colOff>508000</xdr:colOff>
      <xdr:row>12</xdr:row>
      <xdr:rowOff>84957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08D229CF-6B3D-4CC7-801D-D16B34809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23990</xdr:rowOff>
    </xdr:from>
    <xdr:to>
      <xdr:col>1</xdr:col>
      <xdr:colOff>492283</xdr:colOff>
      <xdr:row>18</xdr:row>
      <xdr:rowOff>85372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1B5ABA27-2567-47E7-832A-5E9BB13B0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41373</xdr:rowOff>
    </xdr:from>
    <xdr:to>
      <xdr:col>1</xdr:col>
      <xdr:colOff>481732</xdr:colOff>
      <xdr:row>21</xdr:row>
      <xdr:rowOff>91391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7582C39C-60A1-40D7-B741-DC54BB82C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15</xdr:row>
      <xdr:rowOff>136326</xdr:rowOff>
    </xdr:from>
    <xdr:to>
      <xdr:col>1</xdr:col>
      <xdr:colOff>467591</xdr:colOff>
      <xdr:row>16</xdr:row>
      <xdr:rowOff>171462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2FAC8E7D-0CEB-49D7-A09F-BDD2CCFF4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43757</xdr:rowOff>
    </xdr:from>
    <xdr:to>
      <xdr:col>1</xdr:col>
      <xdr:colOff>488462</xdr:colOff>
      <xdr:row>15</xdr:row>
      <xdr:rowOff>101581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14A4E918-F4F0-4A44-B219-CF0D04658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21</xdr:row>
      <xdr:rowOff>126137</xdr:rowOff>
    </xdr:from>
    <xdr:to>
      <xdr:col>1</xdr:col>
      <xdr:colOff>519110</xdr:colOff>
      <xdr:row>23</xdr:row>
      <xdr:rowOff>33434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9573A542-F8CD-4747-813C-90B9BC76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absolute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79A992B0-9AE4-4923-8C4E-156F1016B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10</xdr:col>
      <xdr:colOff>336274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3313911-AC57-4D97-ABE2-7B324687FC9C}"/>
            </a:ext>
          </a:extLst>
        </xdr:cNvPr>
        <xdr:cNvSpPr/>
      </xdr:nvSpPr>
      <xdr:spPr>
        <a:xfrm>
          <a:off x="2417233" y="177799"/>
          <a:ext cx="5004647" cy="72305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New</a:t>
          </a:r>
          <a:r>
            <a:rPr lang="en-IN" sz="2400" b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Entry</a:t>
          </a:r>
          <a:endParaRPr lang="en-IN" sz="2400" b="0">
            <a:solidFill>
              <a:schemeClr val="tx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61659397-AC45-49C3-B658-4245C5DE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 editAs="absolute"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AD0BCED-6A68-4D5C-9208-E24635C45024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5DA956-C089-436B-AF9B-31A45AB32891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23383D-9118-436D-BD45-89E23E385974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969B53B-3BF1-4360-97ED-9E7DDE7A190D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E43733-E126-47A4-A303-3CACB1693669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8EA0CDA-9371-47FE-8912-C4B3A56B9E6B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1964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4D9DCD8-E569-4E77-AEBC-8B78D14593FF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3BC81E-4312-4F2E-9D0E-05653DD5849A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22B375-C09B-4AEC-9E91-7965C82704D7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D4893F33-92BC-4C13-A6DE-C3A9628D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2131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3F6554C7-6BC8-44B1-9C0B-F2DB0CEB0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0C9F889C-D78E-4192-B0EF-A272FC615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D4ABF772-734B-484A-A637-37A3C519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C0EF5E9F-A135-4C49-8A0A-4A78C5F58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F417E164-D14B-4516-9BF9-A7807BBB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65F469EE-2461-4942-B2A0-C8F494C7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absolute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0FEB5F3C-320B-4565-A214-F006F37CA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10</xdr:col>
      <xdr:colOff>0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101930D-CDC7-4C1C-B73E-4EEEB16556C9}"/>
            </a:ext>
          </a:extLst>
        </xdr:cNvPr>
        <xdr:cNvSpPr/>
      </xdr:nvSpPr>
      <xdr:spPr>
        <a:xfrm>
          <a:off x="2410607" y="177799"/>
          <a:ext cx="6526328" cy="720403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88163AFD-D66C-4112-B1E5-DE5306173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 editAs="absolute"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BDEB506-199A-4D2B-8BA1-851F3E6496D8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F62D11-D97A-449D-9DEA-707A389D4499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F85949-ECBF-4FE3-8B40-809B476CD019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B53FFD-7F97-4D10-977F-270CFD44AE5E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9BD343-FB37-4AAE-A772-D80F12373BD0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76CFF7-625E-47D4-A925-C30653B4EB80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1411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831744-7C76-4797-8B2B-2958039DEAAD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A805A5-0B79-44B5-8B30-474D10993CC0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E98B19B-9515-4EDE-AA58-2B053C59FF8A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C8CD581B-4217-40D2-849F-2CE3874E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2131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2954138D-DDBA-4030-8E0C-1A6FDF869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08A63C9A-7D0F-4005-BA27-E7EBAA602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2955C969-25F3-40BE-97A1-87EDB2B63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AAAE450C-A131-43C0-AE9C-7B2F8379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70283E46-5FCA-42F3-8548-53A3FB596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6E285EEE-4B82-47DF-A3F5-B8D2C9078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absolute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CE371A0F-A8A0-439A-ACA1-37DC49795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16933</xdr:colOff>
      <xdr:row>0</xdr:row>
      <xdr:rowOff>177799</xdr:rowOff>
    </xdr:from>
    <xdr:to>
      <xdr:col>12</xdr:col>
      <xdr:colOff>0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04FF8E3-0736-404D-82C3-C1CC62442F1E}"/>
            </a:ext>
          </a:extLst>
        </xdr:cNvPr>
        <xdr:cNvSpPr/>
      </xdr:nvSpPr>
      <xdr:spPr>
        <a:xfrm>
          <a:off x="2410607" y="177799"/>
          <a:ext cx="8505871" cy="72040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249874</xdr:colOff>
      <xdr:row>19</xdr:row>
      <xdr:rowOff>37291</xdr:rowOff>
    </xdr:from>
    <xdr:to>
      <xdr:col>1</xdr:col>
      <xdr:colOff>502705</xdr:colOff>
      <xdr:row>20</xdr:row>
      <xdr:rowOff>106019</xdr:rowOff>
    </xdr:to>
    <xdr:pic>
      <xdr:nvPicPr>
        <xdr:cNvPr id="2" name="Graphic 1" descr="Checklist with solid fill">
          <a:extLst>
            <a:ext uri="{FF2B5EF4-FFF2-40B4-BE49-F238E27FC236}">
              <a16:creationId xmlns:a16="http://schemas.microsoft.com/office/drawing/2014/main" id="{8EC1F857-6D13-41C5-A44A-37835BE2B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194" y="3512011"/>
          <a:ext cx="252831" cy="251608"/>
        </a:xfrm>
        <a:prstGeom prst="rect">
          <a:avLst/>
        </a:prstGeom>
      </xdr:spPr>
    </xdr:pic>
    <xdr:clientData/>
  </xdr:twoCellAnchor>
  <xdr:twoCellAnchor editAs="absolute">
    <xdr:from>
      <xdr:col>1</xdr:col>
      <xdr:colOff>22860</xdr:colOff>
      <xdr:row>5</xdr:row>
      <xdr:rowOff>106680</xdr:rowOff>
    </xdr:from>
    <xdr:to>
      <xdr:col>1</xdr:col>
      <xdr:colOff>1851660</xdr:colOff>
      <xdr:row>9</xdr:row>
      <xdr:rowOff>68580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1F895D-AF70-461B-B537-785C0169BD67}"/>
            </a:ext>
          </a:extLst>
        </xdr:cNvPr>
        <xdr:cNvSpPr/>
      </xdr:nvSpPr>
      <xdr:spPr>
        <a:xfrm>
          <a:off x="297180" y="1021080"/>
          <a:ext cx="1828800" cy="693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541020</xdr:colOff>
      <xdr:row>11</xdr:row>
      <xdr:rowOff>45720</xdr:rowOff>
    </xdr:from>
    <xdr:to>
      <xdr:col>1</xdr:col>
      <xdr:colOff>1577340</xdr:colOff>
      <xdr:row>13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23C8CC-1BA7-4A70-A78A-062C4FFA5855}"/>
            </a:ext>
          </a:extLst>
        </xdr:cNvPr>
        <xdr:cNvSpPr/>
      </xdr:nvSpPr>
      <xdr:spPr>
        <a:xfrm>
          <a:off x="815340" y="20574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</a:t>
          </a:r>
        </a:p>
      </xdr:txBody>
    </xdr:sp>
    <xdr:clientData/>
  </xdr:twoCellAnchor>
  <xdr:twoCellAnchor editAs="absolute">
    <xdr:from>
      <xdr:col>1</xdr:col>
      <xdr:colOff>541020</xdr:colOff>
      <xdr:row>12</xdr:row>
      <xdr:rowOff>145869</xdr:rowOff>
    </xdr:from>
    <xdr:to>
      <xdr:col>1</xdr:col>
      <xdr:colOff>1577340</xdr:colOff>
      <xdr:row>14</xdr:row>
      <xdr:rowOff>107769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CA5D14-43C3-4125-81D8-F6231B7FA5FF}"/>
            </a:ext>
          </a:extLst>
        </xdr:cNvPr>
        <xdr:cNvSpPr/>
      </xdr:nvSpPr>
      <xdr:spPr>
        <a:xfrm>
          <a:off x="815340" y="2340429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Customers</a:t>
          </a:r>
        </a:p>
      </xdr:txBody>
    </xdr:sp>
    <xdr:clientData/>
  </xdr:twoCellAnchor>
  <xdr:twoCellAnchor editAs="absolute">
    <xdr:from>
      <xdr:col>1</xdr:col>
      <xdr:colOff>541020</xdr:colOff>
      <xdr:row>14</xdr:row>
      <xdr:rowOff>63138</xdr:rowOff>
    </xdr:from>
    <xdr:to>
      <xdr:col>1</xdr:col>
      <xdr:colOff>1577340</xdr:colOff>
      <xdr:row>16</xdr:row>
      <xdr:rowOff>25038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7D9C9D-23EC-4C38-86F1-E733C4146EBD}"/>
            </a:ext>
          </a:extLst>
        </xdr:cNvPr>
        <xdr:cNvSpPr/>
      </xdr:nvSpPr>
      <xdr:spPr>
        <a:xfrm>
          <a:off x="815340" y="2623458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Products</a:t>
          </a:r>
        </a:p>
      </xdr:txBody>
    </xdr:sp>
    <xdr:clientData/>
  </xdr:twoCellAnchor>
  <xdr:twoCellAnchor editAs="absolute">
    <xdr:from>
      <xdr:col>1</xdr:col>
      <xdr:colOff>541020</xdr:colOff>
      <xdr:row>15</xdr:row>
      <xdr:rowOff>163287</xdr:rowOff>
    </xdr:from>
    <xdr:to>
      <xdr:col>1</xdr:col>
      <xdr:colOff>1577340</xdr:colOff>
      <xdr:row>17</xdr:row>
      <xdr:rowOff>125187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765557-5C80-4EBB-AD3A-1919EFF18E25}"/>
            </a:ext>
          </a:extLst>
        </xdr:cNvPr>
        <xdr:cNvSpPr/>
      </xdr:nvSpPr>
      <xdr:spPr>
        <a:xfrm>
          <a:off x="815340" y="2906487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Vendors</a:t>
          </a:r>
        </a:p>
      </xdr:txBody>
    </xdr:sp>
    <xdr:clientData/>
  </xdr:twoCellAnchor>
  <xdr:twoCellAnchor editAs="absolute">
    <xdr:from>
      <xdr:col>1</xdr:col>
      <xdr:colOff>541020</xdr:colOff>
      <xdr:row>17</xdr:row>
      <xdr:rowOff>80556</xdr:rowOff>
    </xdr:from>
    <xdr:to>
      <xdr:col>1</xdr:col>
      <xdr:colOff>1577340</xdr:colOff>
      <xdr:row>19</xdr:row>
      <xdr:rowOff>42456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F1F644-0ACF-4C0D-8B0C-151E90604A27}"/>
            </a:ext>
          </a:extLst>
        </xdr:cNvPr>
        <xdr:cNvSpPr/>
      </xdr:nvSpPr>
      <xdr:spPr>
        <a:xfrm>
          <a:off x="815340" y="3189516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New Entry</a:t>
          </a:r>
        </a:p>
      </xdr:txBody>
    </xdr:sp>
    <xdr:clientData/>
  </xdr:twoCellAnchor>
  <xdr:twoCellAnchor editAs="absolute">
    <xdr:from>
      <xdr:col>1</xdr:col>
      <xdr:colOff>541020</xdr:colOff>
      <xdr:row>19</xdr:row>
      <xdr:rowOff>1411</xdr:rowOff>
    </xdr:from>
    <xdr:to>
      <xdr:col>1</xdr:col>
      <xdr:colOff>1577340</xdr:colOff>
      <xdr:row>20</xdr:row>
      <xdr:rowOff>142605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A2BD0FE-73A3-4511-ABBB-0318BF0E940A}"/>
            </a:ext>
          </a:extLst>
        </xdr:cNvPr>
        <xdr:cNvSpPr/>
      </xdr:nvSpPr>
      <xdr:spPr>
        <a:xfrm>
          <a:off x="815340" y="3472545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Purchase</a:t>
          </a:r>
        </a:p>
      </xdr:txBody>
    </xdr:sp>
    <xdr:clientData/>
  </xdr:twoCellAnchor>
  <xdr:twoCellAnchor editAs="absolute">
    <xdr:from>
      <xdr:col>1</xdr:col>
      <xdr:colOff>541020</xdr:colOff>
      <xdr:row>20</xdr:row>
      <xdr:rowOff>97974</xdr:rowOff>
    </xdr:from>
    <xdr:to>
      <xdr:col>1</xdr:col>
      <xdr:colOff>1577340</xdr:colOff>
      <xdr:row>22</xdr:row>
      <xdr:rowOff>59874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C0A106-3919-4808-9E47-333DFB804D22}"/>
            </a:ext>
          </a:extLst>
        </xdr:cNvPr>
        <xdr:cNvSpPr/>
      </xdr:nvSpPr>
      <xdr:spPr>
        <a:xfrm>
          <a:off x="815340" y="3755574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bg2">
                  <a:lumMod val="9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Sales</a:t>
          </a:r>
        </a:p>
      </xdr:txBody>
    </xdr:sp>
    <xdr:clientData/>
  </xdr:twoCellAnchor>
  <xdr:twoCellAnchor editAs="absolute">
    <xdr:from>
      <xdr:col>1</xdr:col>
      <xdr:colOff>541020</xdr:colOff>
      <xdr:row>22</xdr:row>
      <xdr:rowOff>15240</xdr:rowOff>
    </xdr:from>
    <xdr:to>
      <xdr:col>1</xdr:col>
      <xdr:colOff>1577340</xdr:colOff>
      <xdr:row>23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E61FCD-7392-4BEA-A28D-0EF7813C365F}"/>
            </a:ext>
          </a:extLst>
        </xdr:cNvPr>
        <xdr:cNvSpPr/>
      </xdr:nvSpPr>
      <xdr:spPr>
        <a:xfrm>
          <a:off x="815340" y="4038600"/>
          <a:ext cx="1036320" cy="3276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Inventory</a:t>
          </a:r>
        </a:p>
      </xdr:txBody>
    </xdr:sp>
    <xdr:clientData/>
  </xdr:twoCellAnchor>
  <xdr:twoCellAnchor editAs="absolute">
    <xdr:from>
      <xdr:col>1</xdr:col>
      <xdr:colOff>249874</xdr:colOff>
      <xdr:row>13</xdr:row>
      <xdr:rowOff>36876</xdr:rowOff>
    </xdr:from>
    <xdr:to>
      <xdr:col>1</xdr:col>
      <xdr:colOff>502990</xdr:colOff>
      <xdr:row>14</xdr:row>
      <xdr:rowOff>108404</xdr:rowOff>
    </xdr:to>
    <xdr:pic>
      <xdr:nvPicPr>
        <xdr:cNvPr id="12" name="Graphic 11" descr="Target Audience with solid fill">
          <a:extLst>
            <a:ext uri="{FF2B5EF4-FFF2-40B4-BE49-F238E27FC236}">
              <a16:creationId xmlns:a16="http://schemas.microsoft.com/office/drawing/2014/main" id="{4880C84E-48F1-4AE5-AC95-DD5A9899C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4194" y="2414316"/>
          <a:ext cx="253116" cy="254408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11</xdr:row>
      <xdr:rowOff>107755</xdr:rowOff>
    </xdr:from>
    <xdr:to>
      <xdr:col>1</xdr:col>
      <xdr:colOff>508000</xdr:colOff>
      <xdr:row>13</xdr:row>
      <xdr:rowOff>2131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3ADB6739-F1AF-4336-978C-8A84BE3D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24194" y="2119435"/>
          <a:ext cx="258126" cy="26013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17</xdr:row>
      <xdr:rowOff>123381</xdr:rowOff>
    </xdr:from>
    <xdr:to>
      <xdr:col>1</xdr:col>
      <xdr:colOff>492283</xdr:colOff>
      <xdr:row>19</xdr:row>
      <xdr:rowOff>2546</xdr:rowOff>
    </xdr:to>
    <xdr:pic>
      <xdr:nvPicPr>
        <xdr:cNvPr id="14" name="Graphic 13" descr="Clipboard with solid fill">
          <a:extLst>
            <a:ext uri="{FF2B5EF4-FFF2-40B4-BE49-F238E27FC236}">
              <a16:creationId xmlns:a16="http://schemas.microsoft.com/office/drawing/2014/main" id="{06603DFA-7549-415A-8E14-2FA249488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24194" y="3232341"/>
          <a:ext cx="242409" cy="244925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20</xdr:row>
      <xdr:rowOff>140764</xdr:rowOff>
    </xdr:from>
    <xdr:to>
      <xdr:col>1</xdr:col>
      <xdr:colOff>481732</xdr:colOff>
      <xdr:row>22</xdr:row>
      <xdr:rowOff>8565</xdr:rowOff>
    </xdr:to>
    <xdr:pic>
      <xdr:nvPicPr>
        <xdr:cNvPr id="15" name="Graphic 14" descr="Coins with solid fill">
          <a:extLst>
            <a:ext uri="{FF2B5EF4-FFF2-40B4-BE49-F238E27FC236}">
              <a16:creationId xmlns:a16="http://schemas.microsoft.com/office/drawing/2014/main" id="{F6F06998-8609-4313-BA93-DFEC8F366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24194" y="3798364"/>
          <a:ext cx="231858" cy="233561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16</xdr:row>
      <xdr:rowOff>53500</xdr:rowOff>
    </xdr:from>
    <xdr:to>
      <xdr:col>1</xdr:col>
      <xdr:colOff>467591</xdr:colOff>
      <xdr:row>17</xdr:row>
      <xdr:rowOff>88636</xdr:rowOff>
    </xdr:to>
    <xdr:pic>
      <xdr:nvPicPr>
        <xdr:cNvPr id="16" name="Graphic 15" descr="Users with solid fill">
          <a:extLst>
            <a:ext uri="{FF2B5EF4-FFF2-40B4-BE49-F238E27FC236}">
              <a16:creationId xmlns:a16="http://schemas.microsoft.com/office/drawing/2014/main" id="{D7C596DA-A01B-4261-8911-071552171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24194" y="2979580"/>
          <a:ext cx="217717" cy="21801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14</xdr:row>
      <xdr:rowOff>143149</xdr:rowOff>
    </xdr:from>
    <xdr:to>
      <xdr:col>1</xdr:col>
      <xdr:colOff>488462</xdr:colOff>
      <xdr:row>16</xdr:row>
      <xdr:rowOff>18755</xdr:rowOff>
    </xdr:to>
    <xdr:pic>
      <xdr:nvPicPr>
        <xdr:cNvPr id="17" name="Graphic 16" descr="Document with solid fill">
          <a:extLst>
            <a:ext uri="{FF2B5EF4-FFF2-40B4-BE49-F238E27FC236}">
              <a16:creationId xmlns:a16="http://schemas.microsoft.com/office/drawing/2014/main" id="{B4A7717A-C43D-4C37-A7A6-73DFD7748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4194" y="2703469"/>
          <a:ext cx="238588" cy="241366"/>
        </a:xfrm>
        <a:prstGeom prst="rect">
          <a:avLst/>
        </a:prstGeom>
      </xdr:spPr>
    </xdr:pic>
    <xdr:clientData/>
  </xdr:twoCellAnchor>
  <xdr:twoCellAnchor editAs="absolute">
    <xdr:from>
      <xdr:col>1</xdr:col>
      <xdr:colOff>249874</xdr:colOff>
      <xdr:row>22</xdr:row>
      <xdr:rowOff>43311</xdr:rowOff>
    </xdr:from>
    <xdr:to>
      <xdr:col>1</xdr:col>
      <xdr:colOff>519110</xdr:colOff>
      <xdr:row>23</xdr:row>
      <xdr:rowOff>132825</xdr:rowOff>
    </xdr:to>
    <xdr:pic>
      <xdr:nvPicPr>
        <xdr:cNvPr id="18" name="Graphic 17" descr="Database with solid fill">
          <a:extLst>
            <a:ext uri="{FF2B5EF4-FFF2-40B4-BE49-F238E27FC236}">
              <a16:creationId xmlns:a16="http://schemas.microsoft.com/office/drawing/2014/main" id="{64DEE1A2-26F3-47B7-ACF8-A1D50553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24194" y="4066671"/>
          <a:ext cx="269236" cy="272394"/>
        </a:xfrm>
        <a:prstGeom prst="rect">
          <a:avLst/>
        </a:prstGeom>
      </xdr:spPr>
    </xdr:pic>
    <xdr:clientData/>
  </xdr:twoCellAnchor>
  <xdr:twoCellAnchor editAs="absolute">
    <xdr:from>
      <xdr:col>1</xdr:col>
      <xdr:colOff>522225</xdr:colOff>
      <xdr:row>1</xdr:row>
      <xdr:rowOff>17366</xdr:rowOff>
    </xdr:from>
    <xdr:to>
      <xdr:col>1</xdr:col>
      <xdr:colOff>1337285</xdr:colOff>
      <xdr:row>5</xdr:row>
      <xdr:rowOff>116334</xdr:rowOff>
    </xdr:to>
    <xdr:pic>
      <xdr:nvPicPr>
        <xdr:cNvPr id="19" name="Graphic 18" descr="Presentation with pie chart with solid fill">
          <a:extLst>
            <a:ext uri="{FF2B5EF4-FFF2-40B4-BE49-F238E27FC236}">
              <a16:creationId xmlns:a16="http://schemas.microsoft.com/office/drawing/2014/main" id="{CCA95E17-1CD3-41C5-A58B-5125A991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96545" y="200246"/>
          <a:ext cx="815060" cy="830488"/>
        </a:xfrm>
        <a:prstGeom prst="rect">
          <a:avLst/>
        </a:prstGeom>
      </xdr:spPr>
    </xdr:pic>
    <xdr:clientData/>
  </xdr:twoCellAnchor>
  <xdr:twoCellAnchor editAs="absolute">
    <xdr:from>
      <xdr:col>3</xdr:col>
      <xdr:colOff>16932</xdr:colOff>
      <xdr:row>0</xdr:row>
      <xdr:rowOff>177799</xdr:rowOff>
    </xdr:from>
    <xdr:to>
      <xdr:col>10</xdr:col>
      <xdr:colOff>5242891</xdr:colOff>
      <xdr:row>4</xdr:row>
      <xdr:rowOff>169332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B82C8C2-9CA3-4330-B2DE-9835A1BB0B55}"/>
            </a:ext>
          </a:extLst>
        </xdr:cNvPr>
        <xdr:cNvSpPr/>
      </xdr:nvSpPr>
      <xdr:spPr>
        <a:xfrm>
          <a:off x="2410606" y="177799"/>
          <a:ext cx="10568242" cy="720403"/>
        </a:xfrm>
        <a:prstGeom prst="rect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400" b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</a:rPr>
            <a:t>   Inventory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" refreshedDate="46322.885764467595" createdVersion="8" refreshedVersion="8" minRefreshableVersion="3" recordCount="6" xr:uid="{89ED0A6D-2771-4879-9BEF-249FB21553BC}">
  <cacheSource type="worksheet">
    <worksheetSource name="customersdata"/>
  </cacheSource>
  <cacheFields count="4">
    <cacheField name="C_ID" numFmtId="0">
      <sharedItems/>
    </cacheField>
    <cacheField name="Name" numFmtId="0">
      <sharedItems count="6">
        <s v="Aarav Sharma"/>
        <s v="Priya Patel"/>
        <s v="Rohan Verma"/>
        <s v="Ananya Iyer"/>
        <s v="Kabir Mehta"/>
        <s v="Neha Gupta"/>
      </sharedItems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" refreshedDate="46322.886263541666" createdVersion="8" refreshedVersion="8" minRefreshableVersion="3" recordCount="11" xr:uid="{BA711318-8B97-4B2B-BDD8-5874C04B3342}">
  <cacheSource type="worksheet">
    <worksheetSource name="productsdata"/>
  </cacheSource>
  <cacheFields count="4">
    <cacheField name="HSN Code" numFmtId="0">
      <sharedItems/>
    </cacheField>
    <cacheField name="PName" numFmtId="0">
      <sharedItems/>
    </cacheField>
    <cacheField name="Cost" numFmtId="0">
      <sharedItems containsSemiMixedTypes="0" containsString="0" containsNumber="1" containsInteger="1" minValue="500" maxValue="42000"/>
    </cacheField>
    <cacheField name="Price" numFmtId="0">
      <sharedItems containsSemiMixedTypes="0" containsString="0" containsNumber="1" containsInteger="1" minValue="700" maxValue="5499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" refreshedDate="46322.887024768519" createdVersion="8" refreshedVersion="8" minRefreshableVersion="3" recordCount="12" xr:uid="{F7B1AA51-55F7-4F95-824B-64B68DE7B8A1}">
  <cacheSource type="worksheet">
    <worksheetSource name="Table5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4">
      <sharedItems containsSemiMixedTypes="0" containsNonDate="0" containsDate="1" containsString="0" minDate="2026-09-01T00:00:00" maxDate="2026-10-31T00:00:00"/>
    </cacheField>
    <cacheField name="Units" numFmtId="0">
      <sharedItems containsSemiMixedTypes="0" containsString="0" containsNumber="1" containsInteger="1" minValue="2" maxValue="50"/>
    </cacheField>
    <cacheField name="Cost" numFmtId="0">
      <sharedItems containsSemiMixedTypes="0" containsString="0" containsNumber="1" containsInteger="1" minValue="500" maxValue="18000"/>
    </cacheField>
    <cacheField name="Amount" numFmtId="0">
      <sharedItems containsSemiMixedTypes="0" containsString="0" containsNumber="1" containsInteger="1" minValue="1200" maxValue="540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" refreshedDate="46322.887460532409" createdVersion="8" refreshedVersion="8" minRefreshableVersion="3" recordCount="17" xr:uid="{93395ABA-1326-423E-B70A-ECFA80F154F3}">
  <cacheSource type="worksheet">
    <worksheetSource name="salesdata"/>
  </cacheSource>
  <cacheFields count="9">
    <cacheField name="C_ID" numFmtId="0">
      <sharedItems containsBlank="1"/>
    </cacheField>
    <cacheField name="Customer name" numFmtId="0">
      <sharedItems count="6">
        <s v="Rohan Verma"/>
        <s v="Ananya Iyer"/>
        <s v="Aarav Sharma"/>
        <s v="Kabir Mehta"/>
        <s v="Priya Patel"/>
        <s v=""/>
      </sharedItems>
    </cacheField>
    <cacheField name="HSN_Code" numFmtId="0">
      <sharedItems containsBlank="1"/>
    </cacheField>
    <cacheField name="Product Name" numFmtId="0">
      <sharedItems/>
    </cacheField>
    <cacheField name="Date" numFmtId="14">
      <sharedItems containsNonDate="0" containsDate="1" containsString="0" containsBlank="1" minDate="2026-10-01T00:00:00" maxDate="2026-10-31T00:00:00"/>
    </cacheField>
    <cacheField name="Stock(Units)" numFmtId="0">
      <sharedItems containsMixedTypes="1" containsNumber="1" containsInteger="1" minValue="0" maxValue="36"/>
    </cacheField>
    <cacheField name="Units" numFmtId="0">
      <sharedItems containsString="0" containsBlank="1" containsNumber="1" containsInteger="1" minValue="1" maxValue="20"/>
    </cacheField>
    <cacheField name="Price " numFmtId="0">
      <sharedItems containsMixedTypes="1" containsNumber="1" containsInteger="1" minValue="700" maxValue="54990"/>
    </cacheField>
    <cacheField name="Amount" numFmtId="0">
      <sharedItems containsMixedTypes="1" containsNumber="1" containsInteger="1" minValue="0" maxValue="12499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ma" refreshedDate="46322.888322106483" createdVersion="8" refreshedVersion="8" minRefreshableVersion="3" recordCount="16" xr:uid="{D94A6D53-0228-4753-8064-8EEECAB29B4A}">
  <cacheSource type="worksheet">
    <worksheetSource name="Table7"/>
  </cacheSource>
  <cacheFields count="7">
    <cacheField name="HSN Code" numFmtId="0">
      <sharedItems/>
    </cacheField>
    <cacheField name="Product Name" numFmtId="0">
      <sharedItems count="12">
        <s v="Wireless Earbuds"/>
        <s v="Smartphone 128GB"/>
        <s v="Business Laptop 15.6&quot;"/>
        <s v="27&quot; Full HD Monitor"/>
        <s v="Mechanical Gaming Keyboard"/>
        <s v="Ergonomic Wireless Mouse"/>
        <s v="Portable Bluetooth Speaker"/>
        <s v="Dual-Band Wi-Fi Router"/>
        <s v="43&quot; 4K Smart TV"/>
        <s v="20000mAh Fast Charging Power Bank"/>
        <s v="Mouse"/>
        <s v=""/>
      </sharedItems>
    </cacheField>
    <cacheField name="Cost" numFmtId="0">
      <sharedItems containsMixedTypes="1" containsNumber="1" containsInteger="1" minValue="500" maxValue="42000"/>
    </cacheField>
    <cacheField name="P Units" numFmtId="0">
      <sharedItems containsSemiMixedTypes="0" containsString="0" containsNumber="1" containsInteger="1" minValue="0" maxValue="50"/>
    </cacheField>
    <cacheField name="S Units" numFmtId="0">
      <sharedItems containsSemiMixedTypes="0" containsString="0" containsNumber="1" containsInteger="1" minValue="0" maxValue="20"/>
    </cacheField>
    <cacheField name="Stock" numFmtId="0">
      <sharedItems containsSemiMixedTypes="0" containsString="0" containsNumber="1" containsInteger="1" minValue="0" maxValue="36"/>
    </cacheField>
    <cacheField name="Stock Amount" numFmtId="0">
      <sharedItems containsMixedTypes="1" containsNumber="1" containsInteger="1" minValue="0" maxValue="648000" count="10">
        <n v="30000"/>
        <n v="648000"/>
        <n v="0"/>
        <n v="38000"/>
        <n v="5400"/>
        <n v="9000"/>
        <n v="4800"/>
        <n v="900"/>
        <n v="15000"/>
        <s v="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C001"/>
    <x v="0"/>
    <s v="aarav.sharma2026@gmail.com"/>
    <s v="124 MG Road, Mumbai"/>
  </r>
  <r>
    <s v="C002"/>
    <x v="1"/>
    <s v="priya.patel.92@gmail.com"/>
    <s v="45 Park Street, Kolkata"/>
  </r>
  <r>
    <s v="C003"/>
    <x v="2"/>
    <s v="rohan.verma.tech@gmail.com"/>
    <s v="12 Sector 18, Noida"/>
  </r>
  <r>
    <s v="C004"/>
    <x v="3"/>
    <s v="ananya.iyer.design@gmail.com"/>
    <s v="88 Anna Salai, Chennai"/>
  </r>
  <r>
    <s v="C005"/>
    <x v="4"/>
    <s v="kabir.mehta.95@gmail.com"/>
    <s v="77 Brigade Road, Bengaluru"/>
  </r>
  <r>
    <s v="C006"/>
    <x v="5"/>
    <s v="neha.gupta.finance@gmail.com"/>
    <s v="50 Connaught Place, New Delh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N1001"/>
    <s v="Wireless Earbuds"/>
    <n v="1500"/>
    <n v="2999"/>
  </r>
  <r>
    <s v="N1002"/>
    <s v="Smartphone 128GB"/>
    <n v="18000"/>
    <n v="24999"/>
  </r>
  <r>
    <s v="N1003"/>
    <s v="Business Laptop 15.6&quot;"/>
    <n v="42000"/>
    <n v="54990"/>
  </r>
  <r>
    <s v="N1004"/>
    <s v="27&quot; Full HD Monitor"/>
    <n v="9500"/>
    <n v="13499"/>
  </r>
  <r>
    <s v="N1005"/>
    <s v="Mechanical Gaming Keyboard"/>
    <n v="1800"/>
    <n v="3299"/>
  </r>
  <r>
    <s v="N1006"/>
    <s v="Ergonomic Wireless Mouse"/>
    <n v="600"/>
    <n v="1199"/>
  </r>
  <r>
    <s v="N1007"/>
    <s v="Portable Bluetooth Speaker"/>
    <n v="1200"/>
    <n v="2499"/>
  </r>
  <r>
    <s v="N1008"/>
    <s v="Dual-Band Wi-Fi Router"/>
    <n v="1100"/>
    <n v="1899"/>
  </r>
  <r>
    <s v="N1009"/>
    <s v="43&quot; 4K Smart TV"/>
    <n v="19000"/>
    <n v="26990"/>
  </r>
  <r>
    <s v="N1010"/>
    <s v="20000mAh Fast Charging Power Bank"/>
    <n v="900"/>
    <n v="1699"/>
  </r>
  <r>
    <s v="N1011"/>
    <s v="Mouse"/>
    <n v="500"/>
    <n v="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1004"/>
    <s v="27&quot; Full HD Monitor"/>
    <s v="Prime Electronics"/>
    <d v="2026-10-27T00:00:00"/>
    <n v="5"/>
    <n v="9500"/>
    <n v="47500"/>
  </r>
  <r>
    <s v="N1006"/>
    <s v="Ergonomic Wireless Mouse"/>
    <s v="Nexus Enterprises"/>
    <d v="2026-10-27T00:00:00"/>
    <n v="10"/>
    <n v="600"/>
    <n v="6000"/>
  </r>
  <r>
    <s v="N1005"/>
    <s v="Mechanical Gaming Keyboard"/>
    <s v="Prime Electronics"/>
    <d v="2026-10-12T00:00:00"/>
    <n v="6"/>
    <n v="1800"/>
    <n v="10800"/>
  </r>
  <r>
    <s v="N1006"/>
    <s v="Ergonomic Wireless Mouse"/>
    <s v="Nexus Enterprises"/>
    <d v="2026-10-10T00:00:00"/>
    <n v="2"/>
    <n v="600"/>
    <n v="1200"/>
  </r>
  <r>
    <s v="N1002"/>
    <s v="Smartphone 128GB"/>
    <s v="Apex Distributors"/>
    <d v="2026-10-05T00:00:00"/>
    <n v="30"/>
    <n v="18000"/>
    <n v="540000"/>
  </r>
  <r>
    <s v="N1002"/>
    <s v="Smartphone 128GB"/>
    <s v="Apex Distributors"/>
    <d v="2026-10-30T00:00:00"/>
    <n v="13"/>
    <n v="18000"/>
    <n v="234000"/>
  </r>
  <r>
    <s v="N1010"/>
    <s v="20000mAh Fast Charging Power Bank"/>
    <s v="Nexus Enterprises"/>
    <d v="2026-09-01T00:00:00"/>
    <n v="16"/>
    <n v="900"/>
    <n v="14400"/>
  </r>
  <r>
    <s v="N1007"/>
    <s v="Portable Bluetooth Speaker"/>
    <s v="Nexus Enterprises"/>
    <d v="2026-10-10T00:00:00"/>
    <n v="10"/>
    <n v="1200"/>
    <n v="12000"/>
  </r>
  <r>
    <s v="N1001"/>
    <s v="Wireless Earbuds"/>
    <s v="Apex Distributors"/>
    <d v="2026-10-23T00:00:00"/>
    <n v="20"/>
    <n v="1500"/>
    <n v="30000"/>
  </r>
  <r>
    <s v="N1002"/>
    <s v="Smartphone 128GB"/>
    <s v="Apex Distributors"/>
    <d v="2026-10-14T00:00:00"/>
    <n v="2"/>
    <n v="18000"/>
    <n v="36000"/>
  </r>
  <r>
    <s v="N1006"/>
    <s v="Ergonomic Wireless Mouse"/>
    <s v="Nexus Enterprises"/>
    <d v="2026-10-27T00:00:00"/>
    <n v="10"/>
    <n v="600"/>
    <n v="6000"/>
  </r>
  <r>
    <s v="N1011"/>
    <s v="Mouse"/>
    <s v="Nexus Enterprises"/>
    <d v="2026-10-27T00:00:00"/>
    <n v="50"/>
    <n v="500"/>
    <n v="25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C003"/>
    <x v="0"/>
    <s v="N1002"/>
    <s v="Smartphone 128GB"/>
    <d v="2026-10-12T00:00:00"/>
    <n v="36"/>
    <n v="5"/>
    <n v="24999"/>
    <n v="124995"/>
  </r>
  <r>
    <s v="C004"/>
    <x v="1"/>
    <s v="N1003"/>
    <s v="Business Laptop 15.6&quot;"/>
    <d v="2026-10-10T00:00:00"/>
    <n v="0"/>
    <m/>
    <n v="54990"/>
    <n v="0"/>
  </r>
  <r>
    <s v="C001"/>
    <x v="2"/>
    <s v="N1005"/>
    <s v="Mechanical Gaming Keyboard"/>
    <d v="2026-10-11T00:00:00"/>
    <n v="3"/>
    <m/>
    <n v="3299"/>
    <n v="0"/>
  </r>
  <r>
    <s v="C004"/>
    <x v="1"/>
    <s v="N1005"/>
    <s v="Mechanical Gaming Keyboard"/>
    <d v="2026-10-01T00:00:00"/>
    <n v="3"/>
    <n v="3"/>
    <n v="3299"/>
    <n v="9897"/>
  </r>
  <r>
    <s v="C003"/>
    <x v="0"/>
    <s v="N1004"/>
    <s v="27&quot; Full HD Monitor"/>
    <d v="2026-10-23T00:00:00"/>
    <n v="4"/>
    <m/>
    <n v="13499"/>
    <n v="0"/>
  </r>
  <r>
    <s v="C005"/>
    <x v="3"/>
    <s v="N1007"/>
    <s v="Portable Bluetooth Speaker"/>
    <d v="2026-10-22T00:00:00"/>
    <n v="4"/>
    <n v="2"/>
    <n v="2499"/>
    <n v="4998"/>
  </r>
  <r>
    <s v="C001"/>
    <x v="2"/>
    <s v="N1004"/>
    <s v="27&quot; Full HD Monitor"/>
    <d v="2026-10-30T00:00:00"/>
    <n v="4"/>
    <n v="1"/>
    <n v="13499"/>
    <n v="13499"/>
  </r>
  <r>
    <s v="C004"/>
    <x v="1"/>
    <s v="N1007"/>
    <s v="Portable Bluetooth Speaker"/>
    <d v="2026-10-14T00:00:00"/>
    <n v="4"/>
    <n v="2"/>
    <n v="2499"/>
    <n v="4998"/>
  </r>
  <r>
    <s v="C005"/>
    <x v="3"/>
    <s v="N1007"/>
    <s v="Portable Bluetooth Speaker"/>
    <d v="2026-10-01T00:00:00"/>
    <n v="4"/>
    <n v="2"/>
    <n v="2499"/>
    <n v="4998"/>
  </r>
  <r>
    <s v="C005"/>
    <x v="3"/>
    <s v="N1010"/>
    <s v="20000mAh Fast Charging Power Bank"/>
    <d v="2026-10-25T00:00:00"/>
    <n v="1"/>
    <n v="15"/>
    <n v="1699"/>
    <n v="25485"/>
  </r>
  <r>
    <s v="C002"/>
    <x v="4"/>
    <s v="N1002"/>
    <s v="Smartphone 128GB"/>
    <d v="2026-10-26T00:00:00"/>
    <n v="36"/>
    <n v="4"/>
    <n v="24999"/>
    <n v="99996"/>
  </r>
  <r>
    <s v="C005"/>
    <x v="3"/>
    <s v="N1003"/>
    <s v="Business Laptop 15.6&quot;"/>
    <d v="2026-10-27T00:00:00"/>
    <n v="0"/>
    <m/>
    <n v="54990"/>
    <n v="0"/>
  </r>
  <r>
    <s v="C005"/>
    <x v="3"/>
    <s v="N1006"/>
    <s v="Ergonomic Wireless Mouse"/>
    <d v="2026-10-28T00:00:00"/>
    <n v="15"/>
    <n v="2"/>
    <n v="1199"/>
    <n v="2398"/>
  </r>
  <r>
    <s v="C005"/>
    <x v="3"/>
    <s v="N1006"/>
    <s v="Ergonomic Wireless Mouse"/>
    <d v="2026-10-27T00:00:00"/>
    <n v="15"/>
    <n v="5"/>
    <n v="1199"/>
    <n v="5995"/>
  </r>
  <r>
    <s v="C002"/>
    <x v="4"/>
    <s v="N1011"/>
    <s v="Mouse"/>
    <d v="2026-10-27T00:00:00"/>
    <n v="30"/>
    <n v="20"/>
    <n v="700"/>
    <n v="14000"/>
  </r>
  <r>
    <m/>
    <x v="5"/>
    <m/>
    <s v=""/>
    <m/>
    <s v=""/>
    <m/>
    <s v=""/>
    <s v=""/>
  </r>
  <r>
    <m/>
    <x v="5"/>
    <m/>
    <s v=""/>
    <m/>
    <s v=""/>
    <m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N1001"/>
    <x v="0"/>
    <n v="1500"/>
    <n v="20"/>
    <n v="0"/>
    <n v="20"/>
    <x v="0"/>
  </r>
  <r>
    <s v="N1002"/>
    <x v="1"/>
    <n v="18000"/>
    <n v="45"/>
    <n v="9"/>
    <n v="36"/>
    <x v="1"/>
  </r>
  <r>
    <s v="N1003"/>
    <x v="2"/>
    <n v="42000"/>
    <n v="0"/>
    <n v="0"/>
    <n v="0"/>
    <x v="2"/>
  </r>
  <r>
    <s v="N1004"/>
    <x v="3"/>
    <n v="9500"/>
    <n v="5"/>
    <n v="1"/>
    <n v="4"/>
    <x v="3"/>
  </r>
  <r>
    <s v="N1005"/>
    <x v="4"/>
    <n v="1800"/>
    <n v="6"/>
    <n v="3"/>
    <n v="3"/>
    <x v="4"/>
  </r>
  <r>
    <s v="N1006"/>
    <x v="5"/>
    <n v="600"/>
    <n v="22"/>
    <n v="7"/>
    <n v="15"/>
    <x v="5"/>
  </r>
  <r>
    <s v="N1007"/>
    <x v="6"/>
    <n v="1200"/>
    <n v="10"/>
    <n v="6"/>
    <n v="4"/>
    <x v="6"/>
  </r>
  <r>
    <s v="N1008"/>
    <x v="7"/>
    <n v="1100"/>
    <n v="0"/>
    <n v="0"/>
    <n v="0"/>
    <x v="2"/>
  </r>
  <r>
    <s v="N1009"/>
    <x v="8"/>
    <n v="19000"/>
    <n v="0"/>
    <n v="0"/>
    <n v="0"/>
    <x v="2"/>
  </r>
  <r>
    <s v="N1010"/>
    <x v="9"/>
    <n v="900"/>
    <n v="16"/>
    <n v="15"/>
    <n v="1"/>
    <x v="7"/>
  </r>
  <r>
    <s v="N1011"/>
    <x v="10"/>
    <n v="500"/>
    <n v="50"/>
    <n v="20"/>
    <n v="30"/>
    <x v="8"/>
  </r>
  <r>
    <s v=""/>
    <x v="11"/>
    <s v=""/>
    <n v="0"/>
    <n v="0"/>
    <n v="0"/>
    <x v="9"/>
  </r>
  <r>
    <s v=""/>
    <x v="11"/>
    <s v=""/>
    <n v="0"/>
    <n v="0"/>
    <n v="0"/>
    <x v="9"/>
  </r>
  <r>
    <s v=""/>
    <x v="11"/>
    <s v=""/>
    <n v="0"/>
    <n v="0"/>
    <n v="0"/>
    <x v="9"/>
  </r>
  <r>
    <s v=""/>
    <x v="11"/>
    <s v=""/>
    <n v="0"/>
    <n v="0"/>
    <n v="0"/>
    <x v="9"/>
  </r>
  <r>
    <s v=""/>
    <x v="11"/>
    <s v=""/>
    <n v="0"/>
    <n v="0"/>
    <n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9B05E-9C23-47C0-B42F-D0DF7C4FF527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32" firstHeaderRow="1" firstDataRow="1" firstDataCol="1"/>
  <pivotFields count="7">
    <pivotField showAll="0"/>
    <pivotField axis="axisRow" showAll="0">
      <items count="13">
        <item h="1" x="11"/>
        <item x="9"/>
        <item x="3"/>
        <item x="8"/>
        <item x="2"/>
        <item x="7"/>
        <item x="5"/>
        <item x="4"/>
        <item x="10"/>
        <item x="6"/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11">
        <item x="2"/>
        <item x="7"/>
        <item x="6"/>
        <item x="4"/>
        <item x="5"/>
        <item x="8"/>
        <item x="0"/>
        <item x="3"/>
        <item x="1"/>
        <item x="9"/>
        <item t="default"/>
      </items>
    </pivotField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tock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30AE9-B87B-4588-B48A-A56BCE0F7DEB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9:F15" firstHeaderRow="1" firstDataRow="1" firstDataCol="1"/>
  <pivotFields count="9">
    <pivotField showAll="0"/>
    <pivotField axis="axisRow" showAll="0" measureFilter="1" sortType="ascending">
      <items count="7">
        <item x="5"/>
        <item x="2"/>
        <item x="1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8" baseField="1" baseItem="1" numFmtId="3"/>
  </dataFields>
  <formats count="2">
    <format dxfId="9">
      <pivotArea collapsedLevelsAreSubtotals="1" fieldPosition="0">
        <references count="1">
          <reference field="1" count="1">
            <x v="1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38BFF-907D-4BEF-B5ED-007BA186ABBE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:F7" firstHeaderRow="1" firstDataRow="1" firstDataCol="1"/>
  <pivotFields count="7">
    <pivotField showAll="0"/>
    <pivotField axis="axisRow" showAll="0" measureFilter="1" sortType="ascending">
      <items count="13">
        <item x="11"/>
        <item x="9"/>
        <item x="3"/>
        <item x="8"/>
        <item x="2"/>
        <item x="7"/>
        <item x="5"/>
        <item x="4"/>
        <item x="10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9"/>
    </i>
    <i>
      <x v="6"/>
    </i>
    <i>
      <x v="10"/>
    </i>
    <i>
      <x v="1"/>
    </i>
    <i>
      <x v="8"/>
    </i>
    <i t="grand">
      <x/>
    </i>
  </rowItems>
  <colItems count="1">
    <i/>
  </colItems>
  <dataFields count="1">
    <dataField name="Sum of S Units" fld="4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33CE7-5E13-4911-AE1F-7D20D7CBD9D3}" name="PivotTable5" cacheId="2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3:A14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C2A9C-B7D8-4E03-9D3F-D3258839C78C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D33AE-0740-4EED-A83F-E61A009EA2B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7">
    <pivotField showAll="0"/>
    <pivotField showAll="0"/>
    <pivotField showAll="0"/>
    <pivotField numFmtId="14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9F9D4-EB09-4C3A-949B-FD4F6324D6E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E5D2B-2F37-4C50-9052-817D79B6CCF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4">
    <pivotField showAll="0"/>
    <pivotField dataField="1"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43590-2C0D-4E9E-AC71-03E75C88697D}" name="customersdata" displayName="customersdata" ref="D7:G13" totalsRowShown="0">
  <autoFilter ref="D7:G13" xr:uid="{76543590-2C0D-4E9E-AC71-03E75C88697D}"/>
  <tableColumns count="4">
    <tableColumn id="1" xr3:uid="{4178E949-EEFA-46DC-819A-E82836CB7B91}" name="C_ID"/>
    <tableColumn id="2" xr3:uid="{6BA956C3-1052-4EE5-813A-D5C531E50E9C}" name="Name"/>
    <tableColumn id="3" xr3:uid="{8AB380F0-D8E0-4961-AE31-540434F60A1B}" name="Email"/>
    <tableColumn id="4" xr3:uid="{B3B49FCE-BB17-480D-B652-04A039600CD6}" name="Addres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633084-3234-40D0-8788-C19E1075AFF0}" name="productsdata" displayName="productsdata" ref="D7:G18" totalsRowShown="0">
  <autoFilter ref="D7:G18" xr:uid="{71633084-3234-40D0-8788-C19E1075AFF0}"/>
  <tableColumns count="4">
    <tableColumn id="1" xr3:uid="{102285B9-B184-4226-9B25-3A6EFE961B65}" name="HSN Code"/>
    <tableColumn id="2" xr3:uid="{5C7848EB-BE46-4A53-9D56-93FDC6DF9856}" name="PName"/>
    <tableColumn id="3" xr3:uid="{B4445B0F-3E52-4322-9023-BE71C9518FB3}" name="Cost"/>
    <tableColumn id="4" xr3:uid="{491BB3D4-3016-4B8A-8E34-600E1A17B6A3}" name="Pri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D0584F-B445-47A0-8ECC-2460909839BB}" name="Vendorsdata" displayName="Vendorsdata" ref="D7:H18" totalsRowShown="0">
  <autoFilter ref="D7:H18" xr:uid="{68D0584F-B445-47A0-8ECC-2460909839BB}"/>
  <tableColumns count="5">
    <tableColumn id="1" xr3:uid="{43968E45-77FE-4D2A-8E25-9DF6D673CF18}" name="HSN Code" dataDxfId="10">
      <calculatedColumnFormula>IFERROR(productsdata[[#This Row],[HSN Code]],"")</calculatedColumnFormula>
    </tableColumn>
    <tableColumn id="2" xr3:uid="{9423CD46-5249-4CB6-952E-7172E11CD17B}" name="Pname">
      <calculatedColumnFormula>IFERROR(productsdata[[#This Row],[PName]],"")</calculatedColumnFormula>
    </tableColumn>
    <tableColumn id="3" xr3:uid="{B8A27FC5-E95F-4957-96D5-54DA5134D9A0}" name="Vendor Name"/>
    <tableColumn id="4" xr3:uid="{1CCA288C-8D87-4658-AD16-89D9596BF284}" name="Phone Number"/>
    <tableColumn id="5" xr3:uid="{D3498CB1-CFA2-4DD4-B77C-57D304E800BF}" name="Addres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E4DC46-1023-4E1F-B3D4-E5335F705025}" name="Table5" displayName="Table5" ref="D7:J19" totalsRowShown="0">
  <autoFilter ref="D7:J19" xr:uid="{3BE4DC46-1023-4E1F-B3D4-E5335F705025}"/>
  <tableColumns count="7">
    <tableColumn id="1" xr3:uid="{C9615AAA-B777-488F-A91E-E12D59FB59E4}" name="HSN code"/>
    <tableColumn id="2" xr3:uid="{518AB7F5-6671-4B7A-A108-FC169D3C9D07}" name="Product Name">
      <calculatedColumnFormula>IFERROR(VLOOKUP(Table5[[#This Row],[HSN code]],productsdata[#All],2,0),"")</calculatedColumnFormula>
    </tableColumn>
    <tableColumn id="3" xr3:uid="{D9831AED-5E45-420C-B801-D3F43619036F}" name="Vendor">
      <calculatedColumnFormula>IFERROR(VLOOKUP(Table5[[#This Row],[HSN code]],Vendorsdata[#All],3,0),"")</calculatedColumnFormula>
    </tableColumn>
    <tableColumn id="4" xr3:uid="{7C0AB57A-B0AD-48E1-A398-4D2FA3660764}" name="Date"/>
    <tableColumn id="5" xr3:uid="{9E680DEE-C6A1-4F66-83E4-A1319EF6C032}" name="Units"/>
    <tableColumn id="6" xr3:uid="{D41CDEEF-FE0C-4F9E-88BE-7B7EC8A0DFCA}" name="Cost">
      <calculatedColumnFormula>IFERROR(VLOOKUP(Table5[[#This Row],[HSN code]],productsdata[#All],3,0),"")</calculatedColumnFormula>
    </tableColumn>
    <tableColumn id="7" xr3:uid="{243FEE9E-88A9-46A0-A8B5-2B1C4527BD55}" name="Amount">
      <calculatedColumnFormula>IFERROR(Table5[[#This Row],[Units]]*Table5[[#This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F699D6-67E9-4D46-BE9B-94F1A3D43BE3}" name="salesdata" displayName="salesdata" ref="D7:L22">
  <autoFilter ref="D7:L22" xr:uid="{1CF699D6-67E9-4D46-BE9B-94F1A3D43BE3}"/>
  <tableColumns count="9">
    <tableColumn id="1" xr3:uid="{51B848D0-0999-48A7-92D8-CC8C10A7B3CF}" name="C_ID" totalsRowLabel="Total" totalsRowDxfId="18"/>
    <tableColumn id="2" xr3:uid="{3721ECF1-8BB8-40F4-BB17-D4B2B0D01F52}" name="Customer name" totalsRowDxfId="17">
      <calculatedColumnFormula>IFERROR(VLOOKUP(salesdata[[#This Row],[C_ID]],customersdata[#All],2,0),"")</calculatedColumnFormula>
    </tableColumn>
    <tableColumn id="3" xr3:uid="{FCA0E199-0A55-4E97-8948-799ED9C23849}" name="HSN_Code" totalsRowDxfId="16"/>
    <tableColumn id="4" xr3:uid="{28204681-E896-41CC-A6DD-9F3DE7417D36}" name="Product Name" totalsRowDxfId="15">
      <calculatedColumnFormula>IFERROR(VLOOKUP(salesdata[[#This Row],[HSN_Code]],productsdata[#All],2,0),"")</calculatedColumnFormula>
    </tableColumn>
    <tableColumn id="5" xr3:uid="{CB3925B6-F583-482B-9434-3F7B6A31EC21}" name="Date" dataDxfId="7"/>
    <tableColumn id="6" xr3:uid="{DC52A81E-281B-468C-B730-06071D34E129}" name="Stock(Units)" dataDxfId="6" totalsRowDxfId="14">
      <calculatedColumnFormula>IFERROR(VLOOKUP(salesdata[[#This Row],[HSN_Code]],Table7[#All],6,0),"")</calculatedColumnFormula>
    </tableColumn>
    <tableColumn id="7" xr3:uid="{CC788043-C104-4CFF-8444-842FBBFD3C90}" name="Units" totalsRowDxfId="13"/>
    <tableColumn id="8" xr3:uid="{9AF57796-D985-40EA-9603-2C0756B896C3}" name="Price " totalsRowDxfId="12">
      <calculatedColumnFormula>IFERROR(VLOOKUP(salesdata[[#This Row],[HSN_Code]],productsdata[#All],4,0),"")</calculatedColumnFormula>
    </tableColumn>
    <tableColumn id="9" xr3:uid="{B710C3D3-90DA-4EFD-87F6-9335080A0698}" name="Amount" totalsRowFunction="sum" totalsRowDxfId="11">
      <calculatedColumnFormula>IFERROR(salesdata[[#This Row],[Units]]*salesdata[[#This Row],[Price 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EDA2BF-4BBA-445D-A3D5-7E9A3E1FBDE8}" name="Table7" displayName="Table7" ref="D7:K18" totalsRowShown="0">
  <autoFilter ref="D7:K18" xr:uid="{DFEDA2BF-4BBA-445D-A3D5-7E9A3E1FBDE8}"/>
  <tableColumns count="8">
    <tableColumn id="1" xr3:uid="{E140DA8F-E2EC-493D-ADAC-71B1A73774D1}" name="HSN Code" dataDxfId="5">
      <calculatedColumnFormula>IFERROR(productsdata[[#This Row],[HSN Code]],"")</calculatedColumnFormula>
    </tableColumn>
    <tableColumn id="2" xr3:uid="{D542A4B9-F42A-48CB-B7D2-7AF65822F1E6}" name="Product Name">
      <calculatedColumnFormula>IFERROR(productsdata[[#This Row],[PName]],"")</calculatedColumnFormula>
    </tableColumn>
    <tableColumn id="3" xr3:uid="{620CA411-AB7A-4301-81DA-F204581D234C}" name="Cost">
      <calculatedColumnFormula>IFERROR(productsdata[[#This Row],[Cost]],"")</calculatedColumnFormula>
    </tableColumn>
    <tableColumn id="4" xr3:uid="{5EF50EAE-B9FE-4C56-828C-9CE035D51D4D}" name="P Units" dataDxfId="4">
      <calculatedColumnFormula>IFERROR(SUMIF(Table5[Product Name],Table7[[#This Row],[Product Name]],Table5[Units]),"")</calculatedColumnFormula>
    </tableColumn>
    <tableColumn id="5" xr3:uid="{498B0015-F15C-4BB2-8009-B528217169E0}" name="S Units" dataDxfId="3">
      <calculatedColumnFormula>IFERROR(SUMIF(salesdata[Product Name],Table7[[#This Row],[Product Name]],salesdata[Units]),"")</calculatedColumnFormula>
    </tableColumn>
    <tableColumn id="6" xr3:uid="{5F1271AB-9983-4BF2-81C7-0B120C96C634}" name="Stock" dataDxfId="2">
      <calculatedColumnFormula>IFERROR(Table7[[#This Row],[P Units]]-Table7[[#This Row],[S Units]],"")</calculatedColumnFormula>
    </tableColumn>
    <tableColumn id="7" xr3:uid="{4FD68EB7-FE64-4AAE-A498-A3CDED059DCA}" name="Stock Amount" dataDxfId="1">
      <calculatedColumnFormula>IFERROR(Table7[[#This Row],[Stock]]*Table7[[#This Row],[Cost]],"")</calculatedColumnFormula>
    </tableColumn>
    <tableColumn id="8" xr3:uid="{1E65947C-FCA7-449E-9EFB-106BD7688F60}" name="Notification" dataDxfId="0">
      <calculatedColumnFormula>IFERROR(IF(Table7[[#This Row],[Stock]]&lt;5,"📞"&amp;Vendorsdata[[#This Row],[Vendor Name]]&amp;"| For reorder !"&amp;Table7[[#This Row],[Product Name]]&amp;" PH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2"/>
  <sheetViews>
    <sheetView showGridLines="0" showRowColHeaders="0" tabSelected="1" zoomScale="89" zoomScaleNormal="92" workbookViewId="0">
      <selection activeCell="N15" sqref="N15"/>
    </sheetView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7.44140625" style="1" bestFit="1" customWidth="1"/>
    <col min="5" max="5" width="16.109375" style="1" customWidth="1"/>
    <col min="6" max="6" width="48.44140625" style="1" customWidth="1"/>
    <col min="7" max="7" width="18.6640625" style="1" customWidth="1"/>
    <col min="8" max="8" width="15.88671875" style="1" customWidth="1"/>
    <col min="9" max="10" width="8.88671875" style="1"/>
    <col min="11" max="11" width="2.88671875" style="1" customWidth="1"/>
    <col min="12" max="13" width="6.33203125" style="1" customWidth="1"/>
    <col min="14" max="14" width="25.6640625" style="1" customWidth="1"/>
    <col min="15" max="16384" width="8.88671875" style="1"/>
  </cols>
  <sheetData>
    <row r="2" spans="2:12" x14ac:dyDescent="0.3">
      <c r="B2" s="2"/>
    </row>
    <row r="3" spans="2:12" x14ac:dyDescent="0.3">
      <c r="B3" s="2"/>
    </row>
    <row r="4" spans="2:12" x14ac:dyDescent="0.3">
      <c r="B4" s="2"/>
    </row>
    <row r="5" spans="2:12" x14ac:dyDescent="0.3">
      <c r="B5" s="2"/>
    </row>
    <row r="6" spans="2:12" x14ac:dyDescent="0.3">
      <c r="B6" s="2"/>
    </row>
    <row r="7" spans="2:12" x14ac:dyDescent="0.3">
      <c r="B7" s="2"/>
    </row>
    <row r="8" spans="2:12" x14ac:dyDescent="0.3">
      <c r="B8" s="2"/>
    </row>
    <row r="9" spans="2:12" x14ac:dyDescent="0.3">
      <c r="B9" s="2"/>
    </row>
    <row r="10" spans="2:12" x14ac:dyDescent="0.3">
      <c r="B10" s="2"/>
    </row>
    <row r="11" spans="2:12" x14ac:dyDescent="0.3">
      <c r="B11" s="2"/>
    </row>
    <row r="12" spans="2:12" x14ac:dyDescent="0.3">
      <c r="B12" s="2"/>
      <c r="G12" s="15"/>
      <c r="H12" s="12"/>
      <c r="I12" s="12"/>
      <c r="J12" s="12"/>
      <c r="K12" s="12"/>
      <c r="L12" s="12"/>
    </row>
    <row r="13" spans="2:12" x14ac:dyDescent="0.3">
      <c r="B13" s="2"/>
      <c r="G13" s="16"/>
      <c r="H13" s="11"/>
      <c r="L13" s="11"/>
    </row>
    <row r="14" spans="2:12" x14ac:dyDescent="0.3">
      <c r="B14" s="2"/>
      <c r="G14" s="16"/>
      <c r="H14" s="11"/>
      <c r="L14" s="11"/>
    </row>
    <row r="15" spans="2:12" x14ac:dyDescent="0.3">
      <c r="B15" s="2"/>
      <c r="G15" s="16"/>
      <c r="H15" s="11"/>
      <c r="L15" s="11"/>
    </row>
    <row r="16" spans="2:12" x14ac:dyDescent="0.3">
      <c r="B16" s="2"/>
      <c r="G16" s="16"/>
      <c r="H16" s="11"/>
      <c r="L16" s="11"/>
    </row>
    <row r="17" spans="2:15" x14ac:dyDescent="0.3">
      <c r="B17" s="2"/>
      <c r="G17" s="16"/>
      <c r="H17" s="11"/>
      <c r="L17" s="11"/>
    </row>
    <row r="18" spans="2:15" x14ac:dyDescent="0.3">
      <c r="B18" s="2"/>
      <c r="G18" s="16"/>
      <c r="H18" s="11"/>
      <c r="L18" s="11"/>
    </row>
    <row r="19" spans="2:15" x14ac:dyDescent="0.3">
      <c r="B19" s="2"/>
      <c r="G19" s="16"/>
      <c r="H19" s="11"/>
      <c r="L19" s="11"/>
    </row>
    <row r="20" spans="2:15" x14ac:dyDescent="0.3">
      <c r="B20" s="2"/>
      <c r="G20" s="16"/>
      <c r="H20" s="11"/>
      <c r="L20" s="11"/>
    </row>
    <row r="21" spans="2:15" x14ac:dyDescent="0.3">
      <c r="B21" s="2"/>
      <c r="G21" s="16"/>
      <c r="H21" s="11"/>
      <c r="L21" s="11"/>
    </row>
    <row r="22" spans="2:15" x14ac:dyDescent="0.3">
      <c r="B22" s="2"/>
      <c r="G22" s="16"/>
      <c r="H22" s="11"/>
      <c r="L22" s="11"/>
    </row>
    <row r="23" spans="2:15" x14ac:dyDescent="0.3">
      <c r="B23" s="2"/>
      <c r="G23" s="16"/>
      <c r="H23" s="11"/>
      <c r="L23" s="11"/>
    </row>
    <row r="24" spans="2:15" x14ac:dyDescent="0.3">
      <c r="B24" s="2"/>
      <c r="G24" s="16"/>
      <c r="H24" s="17" t="s">
        <v>101</v>
      </c>
      <c r="I24" s="13"/>
      <c r="J24" s="13"/>
      <c r="K24" s="13"/>
      <c r="L24" s="17"/>
      <c r="M24" s="13"/>
      <c r="N24" s="18"/>
      <c r="O24" s="18"/>
    </row>
    <row r="25" spans="2:15" x14ac:dyDescent="0.3">
      <c r="B25" s="2"/>
      <c r="G25" s="16"/>
      <c r="H25" s="10" t="str" cm="1">
        <f t="array" ref="H25:H31">_xlfn._xlws.FILTER(Table7[Notification],Table7[Notification]&lt;&gt;"")</f>
        <v>📞Global Tech Supplies| For reorder !Business Laptop 15.6" PH 9765433445</v>
      </c>
      <c r="I25" s="2"/>
      <c r="J25" s="2"/>
      <c r="K25" s="2"/>
      <c r="L25" s="10"/>
      <c r="M25" s="2"/>
      <c r="N25" s="2"/>
      <c r="O25" s="2"/>
    </row>
    <row r="26" spans="2:15" x14ac:dyDescent="0.3">
      <c r="B26" s="2"/>
      <c r="G26" s="16"/>
      <c r="H26" s="10" t="str">
        <v>📞Prime Electronics| For reorder !27" Full HD Monitor PH 9811244556</v>
      </c>
      <c r="I26" s="2"/>
      <c r="J26" s="2"/>
      <c r="K26" s="2"/>
      <c r="L26" s="10"/>
      <c r="M26" s="2"/>
      <c r="N26" s="2"/>
      <c r="O26" s="2"/>
    </row>
    <row r="27" spans="2:15" x14ac:dyDescent="0.3">
      <c r="B27" s="2"/>
      <c r="G27" s="16"/>
      <c r="H27" s="10" t="str">
        <v>📞Prime Electronics| For reorder !Mechanical Gaming Keyboard PH 9922355667</v>
      </c>
      <c r="I27" s="2"/>
      <c r="J27" s="2"/>
      <c r="K27" s="2"/>
      <c r="L27" s="10"/>
      <c r="M27" s="2"/>
      <c r="N27" s="2"/>
      <c r="O27" s="2"/>
    </row>
    <row r="28" spans="2:15" x14ac:dyDescent="0.3">
      <c r="B28" s="2"/>
      <c r="G28" s="16"/>
      <c r="H28" s="10" t="str">
        <v>📞Nexus Enterprises| For reorder !Portable Bluetooth Speaker PH 9711777889</v>
      </c>
      <c r="I28" s="2"/>
      <c r="J28" s="2"/>
      <c r="K28" s="2"/>
      <c r="L28" s="10"/>
      <c r="M28" s="2"/>
      <c r="N28" s="2"/>
      <c r="O28" s="2"/>
    </row>
    <row r="29" spans="2:15" x14ac:dyDescent="0.3">
      <c r="B29" s="2"/>
      <c r="G29" s="16"/>
      <c r="H29" s="10" t="str">
        <v>📞Apex Distributors| For reorder !Dual-Band Wi-Fi Router PH 9822888990</v>
      </c>
      <c r="I29" s="2"/>
      <c r="J29" s="2"/>
      <c r="K29" s="2"/>
      <c r="L29" s="10"/>
      <c r="M29" s="2"/>
      <c r="N29" s="2"/>
      <c r="O29" s="2"/>
    </row>
    <row r="30" spans="2:15" x14ac:dyDescent="0.3">
      <c r="B30" s="2"/>
      <c r="G30" s="16"/>
      <c r="H30" s="10" t="str">
        <v>📞Global Tech Supplies| For reorder !43" 4K Smart TV PH 9933999001</v>
      </c>
      <c r="I30" s="2"/>
      <c r="J30" s="2"/>
      <c r="K30" s="2"/>
      <c r="L30" s="10"/>
      <c r="M30" s="2"/>
      <c r="N30" s="2"/>
      <c r="O30" s="2"/>
    </row>
    <row r="31" spans="2:15" x14ac:dyDescent="0.3">
      <c r="B31" s="2"/>
      <c r="G31" s="16"/>
      <c r="H31" s="10" t="str">
        <v>📞Nexus Enterprises| For reorder !20000mAh Fast Charging Power Bank PH 9876000112</v>
      </c>
      <c r="I31" s="2"/>
      <c r="J31" s="2"/>
      <c r="K31" s="2"/>
      <c r="L31" s="10"/>
      <c r="M31" s="2"/>
      <c r="N31" s="2"/>
      <c r="O31" s="2"/>
    </row>
    <row r="32" spans="2:15" x14ac:dyDescent="0.3">
      <c r="B32" s="2"/>
      <c r="G32" s="16"/>
      <c r="H32" s="10"/>
      <c r="I32" s="2"/>
      <c r="J32" s="2"/>
      <c r="K32" s="2"/>
      <c r="L32" s="10"/>
      <c r="M32" s="2"/>
      <c r="N32" s="2"/>
      <c r="O32" s="2"/>
    </row>
    <row r="33" spans="2:15" x14ac:dyDescent="0.3">
      <c r="B33" s="2"/>
      <c r="G33" s="16"/>
      <c r="H33" s="10"/>
      <c r="I33" s="2"/>
      <c r="J33" s="2"/>
      <c r="K33" s="2"/>
      <c r="L33" s="10"/>
      <c r="M33" s="2"/>
      <c r="N33" s="2"/>
      <c r="O33" s="2"/>
    </row>
    <row r="34" spans="2:15" x14ac:dyDescent="0.3">
      <c r="B34" s="2"/>
      <c r="G34" s="16"/>
      <c r="H34" s="10"/>
      <c r="I34" s="2"/>
      <c r="J34" s="2"/>
      <c r="K34" s="2"/>
      <c r="L34" s="10"/>
      <c r="M34" s="2"/>
      <c r="N34" s="2"/>
      <c r="O34" s="2"/>
    </row>
    <row r="35" spans="2:15" x14ac:dyDescent="0.3">
      <c r="B35" s="2"/>
      <c r="G35" s="16"/>
      <c r="H35" s="10"/>
      <c r="I35" s="2"/>
      <c r="J35" s="2"/>
      <c r="K35" s="2"/>
      <c r="L35" s="10"/>
      <c r="M35" s="2"/>
      <c r="N35" s="2"/>
      <c r="O35" s="2"/>
    </row>
    <row r="36" spans="2:15" x14ac:dyDescent="0.3">
      <c r="B36" s="2"/>
      <c r="H36" s="2"/>
      <c r="I36" s="2"/>
      <c r="J36" s="2"/>
      <c r="K36" s="2"/>
      <c r="L36" s="2"/>
      <c r="M36" s="2"/>
      <c r="N36" s="2"/>
      <c r="O36" s="2"/>
    </row>
    <row r="37" spans="2:15" x14ac:dyDescent="0.3">
      <c r="B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B38" s="2"/>
      <c r="H38" s="2"/>
      <c r="I38" s="2"/>
      <c r="J38" s="2"/>
      <c r="K38" s="2"/>
      <c r="L38" s="2"/>
      <c r="M38" s="2"/>
      <c r="N38" s="2"/>
      <c r="O38" s="2"/>
    </row>
    <row r="39" spans="2:15" x14ac:dyDescent="0.3">
      <c r="B39" s="2"/>
      <c r="H39" s="2"/>
      <c r="I39" s="2"/>
      <c r="J39" s="2"/>
      <c r="K39" s="2"/>
      <c r="L39" s="2"/>
      <c r="M39" s="2"/>
      <c r="N39" s="2"/>
      <c r="O39" s="2"/>
    </row>
    <row r="40" spans="2:15" x14ac:dyDescent="0.3">
      <c r="B40" s="2"/>
      <c r="H40" s="2"/>
      <c r="I40" s="2"/>
      <c r="J40" s="2"/>
      <c r="K40" s="2"/>
      <c r="L40" s="2"/>
      <c r="M40" s="2"/>
      <c r="N40" s="2"/>
      <c r="O40" s="2"/>
    </row>
    <row r="41" spans="2:15" x14ac:dyDescent="0.3">
      <c r="B41" s="2"/>
      <c r="H41" s="2"/>
      <c r="I41" s="2"/>
      <c r="J41" s="2"/>
      <c r="K41" s="2"/>
      <c r="L41" s="2"/>
      <c r="M41" s="2"/>
      <c r="N41" s="2"/>
      <c r="O41" s="2"/>
    </row>
    <row r="42" spans="2:15" x14ac:dyDescent="0.3">
      <c r="B42" s="2"/>
      <c r="H42" s="2"/>
      <c r="I42" s="2"/>
      <c r="J42" s="2"/>
      <c r="K42" s="2"/>
      <c r="L42" s="2"/>
      <c r="M42" s="2"/>
      <c r="N42" s="2"/>
      <c r="O4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63E-DF7C-434A-AF83-4E1BCA851DA9}">
  <dimension ref="A1:F42"/>
  <sheetViews>
    <sheetView showGridLines="0" showRowColHeaders="0" topLeftCell="A6" zoomScale="92" zoomScaleNormal="92" workbookViewId="0">
      <selection activeCell="Q19" sqref="Q19"/>
    </sheetView>
  </sheetViews>
  <sheetFormatPr defaultRowHeight="14.4" x14ac:dyDescent="0.3"/>
  <cols>
    <col min="1" max="1" width="31.5546875" bestFit="1" customWidth="1"/>
    <col min="2" max="2" width="12.109375" style="1" bestFit="1" customWidth="1"/>
    <col min="3" max="3" width="14.44140625" bestFit="1" customWidth="1"/>
    <col min="5" max="5" width="12.5546875" bestFit="1" customWidth="1"/>
    <col min="6" max="6" width="14.44140625" bestFit="1" customWidth="1"/>
  </cols>
  <sheetData>
    <row r="1" spans="1:6" x14ac:dyDescent="0.3">
      <c r="A1" t="s">
        <v>89</v>
      </c>
      <c r="B1"/>
      <c r="C1" t="s">
        <v>90</v>
      </c>
      <c r="E1" s="6" t="s">
        <v>87</v>
      </c>
      <c r="F1" t="s">
        <v>99</v>
      </c>
    </row>
    <row r="2" spans="1:6" x14ac:dyDescent="0.3">
      <c r="A2" s="8">
        <v>6</v>
      </c>
      <c r="B2"/>
      <c r="C2">
        <f>GETPIVOTDATA("Name",$A$1)</f>
        <v>6</v>
      </c>
      <c r="E2" s="7" t="s">
        <v>45</v>
      </c>
      <c r="F2" s="8">
        <v>6</v>
      </c>
    </row>
    <row r="3" spans="1:6" x14ac:dyDescent="0.3">
      <c r="B3"/>
      <c r="E3" s="7" t="s">
        <v>43</v>
      </c>
      <c r="F3" s="8">
        <v>7</v>
      </c>
    </row>
    <row r="4" spans="1:6" x14ac:dyDescent="0.3">
      <c r="A4" t="s">
        <v>91</v>
      </c>
      <c r="B4"/>
      <c r="C4" t="s">
        <v>92</v>
      </c>
      <c r="E4" s="7" t="s">
        <v>35</v>
      </c>
      <c r="F4" s="8">
        <v>9</v>
      </c>
    </row>
    <row r="5" spans="1:6" x14ac:dyDescent="0.3">
      <c r="A5" s="8">
        <v>11</v>
      </c>
      <c r="B5"/>
      <c r="C5">
        <f>GETPIVOTDATA("PName",$A$4)</f>
        <v>11</v>
      </c>
      <c r="E5" s="7" t="s">
        <v>51</v>
      </c>
      <c r="F5" s="8">
        <v>15</v>
      </c>
    </row>
    <row r="6" spans="1:6" x14ac:dyDescent="0.3">
      <c r="B6"/>
      <c r="E6" s="7" t="s">
        <v>86</v>
      </c>
      <c r="F6" s="8">
        <v>20</v>
      </c>
    </row>
    <row r="7" spans="1:6" x14ac:dyDescent="0.3">
      <c r="A7" t="s">
        <v>93</v>
      </c>
      <c r="B7"/>
      <c r="C7" t="s">
        <v>94</v>
      </c>
      <c r="E7" s="7" t="s">
        <v>88</v>
      </c>
      <c r="F7" s="8">
        <v>57</v>
      </c>
    </row>
    <row r="8" spans="1:6" x14ac:dyDescent="0.3">
      <c r="A8" s="8">
        <v>962900</v>
      </c>
      <c r="B8"/>
      <c r="C8" s="9">
        <f>GETPIVOTDATA("Amount",$A$7)</f>
        <v>962900</v>
      </c>
    </row>
    <row r="9" spans="1:6" x14ac:dyDescent="0.3">
      <c r="B9"/>
      <c r="E9" t="s">
        <v>87</v>
      </c>
      <c r="F9" t="s">
        <v>93</v>
      </c>
    </row>
    <row r="10" spans="1:6" x14ac:dyDescent="0.3">
      <c r="A10" t="s">
        <v>93</v>
      </c>
      <c r="B10"/>
      <c r="C10" t="s">
        <v>95</v>
      </c>
      <c r="E10" t="s">
        <v>5</v>
      </c>
      <c r="F10" s="14">
        <v>13499</v>
      </c>
    </row>
    <row r="11" spans="1:6" x14ac:dyDescent="0.3">
      <c r="A11" s="8">
        <v>311259</v>
      </c>
      <c r="B11"/>
      <c r="C11" s="9">
        <f>GETPIVOTDATA("Amount",$A$10)</f>
        <v>311259</v>
      </c>
      <c r="E11" t="s">
        <v>17</v>
      </c>
      <c r="F11" s="14">
        <v>14895</v>
      </c>
    </row>
    <row r="12" spans="1:6" x14ac:dyDescent="0.3">
      <c r="B12"/>
      <c r="E12" t="s">
        <v>21</v>
      </c>
      <c r="F12" s="14">
        <v>43874</v>
      </c>
    </row>
    <row r="13" spans="1:6" x14ac:dyDescent="0.3">
      <c r="A13" t="s">
        <v>97</v>
      </c>
      <c r="B13"/>
      <c r="C13" t="s">
        <v>98</v>
      </c>
      <c r="E13" t="s">
        <v>9</v>
      </c>
      <c r="F13" s="14">
        <v>113996</v>
      </c>
    </row>
    <row r="14" spans="1:6" x14ac:dyDescent="0.3">
      <c r="A14" s="8">
        <v>751100</v>
      </c>
      <c r="B14"/>
      <c r="C14" s="9">
        <f>GETPIVOTDATA("Stock Amount",$A$13)</f>
        <v>751100</v>
      </c>
      <c r="E14" s="7" t="s">
        <v>13</v>
      </c>
      <c r="F14" s="14">
        <v>124995</v>
      </c>
    </row>
    <row r="15" spans="1:6" x14ac:dyDescent="0.3">
      <c r="B15"/>
      <c r="E15" s="7" t="s">
        <v>88</v>
      </c>
      <c r="F15" s="14">
        <v>311259</v>
      </c>
    </row>
    <row r="16" spans="1:6" x14ac:dyDescent="0.3">
      <c r="B16"/>
      <c r="C16" t="s">
        <v>96</v>
      </c>
    </row>
    <row r="17" spans="1:3" x14ac:dyDescent="0.3">
      <c r="B17"/>
      <c r="C17" s="9">
        <f>C11+C14-C8</f>
        <v>99459</v>
      </c>
    </row>
    <row r="18" spans="1:3" x14ac:dyDescent="0.3">
      <c r="B18"/>
    </row>
    <row r="19" spans="1:3" x14ac:dyDescent="0.3">
      <c r="B19"/>
    </row>
    <row r="20" spans="1:3" x14ac:dyDescent="0.3">
      <c r="A20" s="6" t="s">
        <v>87</v>
      </c>
      <c r="B20" t="s">
        <v>102</v>
      </c>
    </row>
    <row r="21" spans="1:3" x14ac:dyDescent="0.3">
      <c r="A21" s="7" t="s">
        <v>51</v>
      </c>
      <c r="B21" s="8">
        <v>1</v>
      </c>
    </row>
    <row r="22" spans="1:3" x14ac:dyDescent="0.3">
      <c r="A22" s="7" t="s">
        <v>39</v>
      </c>
      <c r="B22" s="8">
        <v>4</v>
      </c>
    </row>
    <row r="23" spans="1:3" x14ac:dyDescent="0.3">
      <c r="A23" s="7" t="s">
        <v>49</v>
      </c>
      <c r="B23" s="8">
        <v>0</v>
      </c>
    </row>
    <row r="24" spans="1:3" x14ac:dyDescent="0.3">
      <c r="A24" s="7" t="s">
        <v>37</v>
      </c>
      <c r="B24" s="8">
        <v>0</v>
      </c>
    </row>
    <row r="25" spans="1:3" x14ac:dyDescent="0.3">
      <c r="A25" s="7" t="s">
        <v>47</v>
      </c>
      <c r="B25" s="8">
        <v>0</v>
      </c>
    </row>
    <row r="26" spans="1:3" x14ac:dyDescent="0.3">
      <c r="A26" s="7" t="s">
        <v>43</v>
      </c>
      <c r="B26" s="8">
        <v>15</v>
      </c>
    </row>
    <row r="27" spans="1:3" x14ac:dyDescent="0.3">
      <c r="A27" s="7" t="s">
        <v>41</v>
      </c>
      <c r="B27" s="8">
        <v>3</v>
      </c>
    </row>
    <row r="28" spans="1:3" x14ac:dyDescent="0.3">
      <c r="A28" s="7" t="s">
        <v>86</v>
      </c>
      <c r="B28" s="8">
        <v>30</v>
      </c>
    </row>
    <row r="29" spans="1:3" x14ac:dyDescent="0.3">
      <c r="A29" s="7" t="s">
        <v>45</v>
      </c>
      <c r="B29" s="8">
        <v>4</v>
      </c>
    </row>
    <row r="30" spans="1:3" x14ac:dyDescent="0.3">
      <c r="A30" s="7" t="s">
        <v>35</v>
      </c>
      <c r="B30" s="8">
        <v>36</v>
      </c>
    </row>
    <row r="31" spans="1:3" x14ac:dyDescent="0.3">
      <c r="A31" s="7" t="s">
        <v>33</v>
      </c>
      <c r="B31" s="8">
        <v>20</v>
      </c>
    </row>
    <row r="32" spans="1:3" x14ac:dyDescent="0.3">
      <c r="A32" s="7" t="s">
        <v>88</v>
      </c>
      <c r="B32" s="8">
        <v>113</v>
      </c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1F93-29BD-4640-97CC-72380728668E}">
  <dimension ref="B2:G42"/>
  <sheetViews>
    <sheetView showGridLines="0" showRowColHeaders="0" zoomScale="87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8.88671875" style="1"/>
    <col min="5" max="5" width="21.6640625" style="1" customWidth="1"/>
    <col min="6" max="6" width="31.88671875" style="1" customWidth="1"/>
    <col min="7" max="7" width="28.109375" style="1" customWidth="1"/>
    <col min="8" max="16384" width="8.88671875" style="1"/>
  </cols>
  <sheetData>
    <row r="2" spans="2:7" x14ac:dyDescent="0.3">
      <c r="B2" s="2"/>
    </row>
    <row r="3" spans="2:7" x14ac:dyDescent="0.3">
      <c r="B3" s="2"/>
    </row>
    <row r="4" spans="2:7" x14ac:dyDescent="0.3">
      <c r="B4" s="2"/>
    </row>
    <row r="5" spans="2:7" x14ac:dyDescent="0.3">
      <c r="B5" s="2"/>
    </row>
    <row r="6" spans="2:7" x14ac:dyDescent="0.3">
      <c r="B6" s="2"/>
    </row>
    <row r="7" spans="2:7" x14ac:dyDescent="0.3">
      <c r="B7" s="2"/>
      <c r="D7" t="s">
        <v>0</v>
      </c>
      <c r="E7" t="s">
        <v>1</v>
      </c>
      <c r="F7" t="s">
        <v>2</v>
      </c>
      <c r="G7" t="s">
        <v>3</v>
      </c>
    </row>
    <row r="8" spans="2:7" x14ac:dyDescent="0.3">
      <c r="B8" s="2"/>
      <c r="D8" t="s">
        <v>4</v>
      </c>
      <c r="E8" t="s">
        <v>5</v>
      </c>
      <c r="F8" t="s">
        <v>6</v>
      </c>
      <c r="G8" t="s">
        <v>7</v>
      </c>
    </row>
    <row r="9" spans="2:7" x14ac:dyDescent="0.3">
      <c r="B9" s="2"/>
      <c r="D9" t="s">
        <v>8</v>
      </c>
      <c r="E9" t="s">
        <v>9</v>
      </c>
      <c r="F9" t="s">
        <v>10</v>
      </c>
      <c r="G9" t="s">
        <v>11</v>
      </c>
    </row>
    <row r="10" spans="2:7" x14ac:dyDescent="0.3">
      <c r="B10" s="2"/>
      <c r="D10" t="s">
        <v>12</v>
      </c>
      <c r="E10" t="s">
        <v>13</v>
      </c>
      <c r="F10" t="s">
        <v>14</v>
      </c>
      <c r="G10" t="s">
        <v>15</v>
      </c>
    </row>
    <row r="11" spans="2:7" x14ac:dyDescent="0.3">
      <c r="B11" s="2"/>
      <c r="D11" t="s">
        <v>16</v>
      </c>
      <c r="E11" t="s">
        <v>17</v>
      </c>
      <c r="F11" t="s">
        <v>18</v>
      </c>
      <c r="G11" t="s">
        <v>19</v>
      </c>
    </row>
    <row r="12" spans="2:7" x14ac:dyDescent="0.3">
      <c r="B12" s="2"/>
      <c r="D12" t="s">
        <v>20</v>
      </c>
      <c r="E12" t="s">
        <v>21</v>
      </c>
      <c r="F12" t="s">
        <v>22</v>
      </c>
      <c r="G12" t="s">
        <v>23</v>
      </c>
    </row>
    <row r="13" spans="2:7" ht="12.6" customHeight="1" x14ac:dyDescent="0.3">
      <c r="B13" s="2"/>
      <c r="D13" t="s">
        <v>24</v>
      </c>
      <c r="E13" t="s">
        <v>25</v>
      </c>
      <c r="F13" t="s">
        <v>26</v>
      </c>
      <c r="G13" t="s">
        <v>27</v>
      </c>
    </row>
    <row r="14" spans="2:7" x14ac:dyDescent="0.3">
      <c r="B14" s="2"/>
    </row>
    <row r="15" spans="2:7" x14ac:dyDescent="0.3">
      <c r="B15" s="2"/>
    </row>
    <row r="16" spans="2:7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E9DB-389D-44CF-8FFB-6E5BC9BEE18C}">
  <dimension ref="B2:G42"/>
  <sheetViews>
    <sheetView showGridLines="0" showRowColHeaders="0" topLeftCell="A2" zoomScale="96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14.109375" style="1" customWidth="1"/>
    <col min="5" max="5" width="36.44140625" style="1" customWidth="1"/>
    <col min="6" max="6" width="9" style="1" customWidth="1"/>
    <col min="7" max="7" width="9.5546875" style="1" bestFit="1" customWidth="1"/>
    <col min="8" max="16384" width="8.88671875" style="1"/>
  </cols>
  <sheetData>
    <row r="2" spans="2:7" x14ac:dyDescent="0.3">
      <c r="B2" s="2"/>
    </row>
    <row r="3" spans="2:7" x14ac:dyDescent="0.3">
      <c r="B3" s="2"/>
    </row>
    <row r="4" spans="2:7" x14ac:dyDescent="0.3">
      <c r="B4" s="2"/>
    </row>
    <row r="5" spans="2:7" x14ac:dyDescent="0.3">
      <c r="B5" s="2"/>
    </row>
    <row r="6" spans="2:7" x14ac:dyDescent="0.3">
      <c r="B6" s="2"/>
    </row>
    <row r="7" spans="2:7" x14ac:dyDescent="0.3">
      <c r="B7" s="2"/>
      <c r="D7" t="s">
        <v>28</v>
      </c>
      <c r="E7" t="s">
        <v>29</v>
      </c>
      <c r="F7" t="s">
        <v>30</v>
      </c>
      <c r="G7" t="s">
        <v>31</v>
      </c>
    </row>
    <row r="8" spans="2:7" x14ac:dyDescent="0.3">
      <c r="B8" s="2"/>
      <c r="D8" t="s">
        <v>32</v>
      </c>
      <c r="E8" t="s">
        <v>33</v>
      </c>
      <c r="F8">
        <v>1500</v>
      </c>
      <c r="G8">
        <v>2999</v>
      </c>
    </row>
    <row r="9" spans="2:7" x14ac:dyDescent="0.3">
      <c r="B9" s="2"/>
      <c r="D9" t="s">
        <v>34</v>
      </c>
      <c r="E9" t="s">
        <v>35</v>
      </c>
      <c r="F9">
        <v>18000</v>
      </c>
      <c r="G9">
        <v>24999</v>
      </c>
    </row>
    <row r="10" spans="2:7" x14ac:dyDescent="0.3">
      <c r="B10" s="2"/>
      <c r="D10" t="s">
        <v>36</v>
      </c>
      <c r="E10" t="s">
        <v>37</v>
      </c>
      <c r="F10">
        <v>42000</v>
      </c>
      <c r="G10">
        <v>54990</v>
      </c>
    </row>
    <row r="11" spans="2:7" x14ac:dyDescent="0.3">
      <c r="B11" s="2"/>
      <c r="D11" t="s">
        <v>38</v>
      </c>
      <c r="E11" t="s">
        <v>39</v>
      </c>
      <c r="F11">
        <v>9500</v>
      </c>
      <c r="G11">
        <v>13499</v>
      </c>
    </row>
    <row r="12" spans="2:7" x14ac:dyDescent="0.3">
      <c r="B12" s="2"/>
      <c r="D12" t="s">
        <v>40</v>
      </c>
      <c r="E12" t="s">
        <v>41</v>
      </c>
      <c r="F12">
        <v>1800</v>
      </c>
      <c r="G12">
        <v>3299</v>
      </c>
    </row>
    <row r="13" spans="2:7" x14ac:dyDescent="0.3">
      <c r="B13" s="2"/>
      <c r="D13" t="s">
        <v>42</v>
      </c>
      <c r="E13" t="s">
        <v>43</v>
      </c>
      <c r="F13">
        <v>600</v>
      </c>
      <c r="G13">
        <v>1199</v>
      </c>
    </row>
    <row r="14" spans="2:7" x14ac:dyDescent="0.3">
      <c r="B14" s="2"/>
      <c r="D14" t="s">
        <v>44</v>
      </c>
      <c r="E14" t="s">
        <v>45</v>
      </c>
      <c r="F14">
        <v>1200</v>
      </c>
      <c r="G14">
        <v>2499</v>
      </c>
    </row>
    <row r="15" spans="2:7" x14ac:dyDescent="0.3">
      <c r="B15" s="2"/>
      <c r="D15" t="s">
        <v>46</v>
      </c>
      <c r="E15" t="s">
        <v>47</v>
      </c>
      <c r="F15">
        <v>1100</v>
      </c>
      <c r="G15">
        <v>1899</v>
      </c>
    </row>
    <row r="16" spans="2:7" x14ac:dyDescent="0.3">
      <c r="B16" s="2"/>
      <c r="D16" t="s">
        <v>48</v>
      </c>
      <c r="E16" t="s">
        <v>49</v>
      </c>
      <c r="F16">
        <v>19000</v>
      </c>
      <c r="G16">
        <v>26990</v>
      </c>
    </row>
    <row r="17" spans="2:7" x14ac:dyDescent="0.3">
      <c r="B17" s="2"/>
      <c r="D17" t="s">
        <v>50</v>
      </c>
      <c r="E17" t="s">
        <v>51</v>
      </c>
      <c r="F17">
        <v>900</v>
      </c>
      <c r="G17">
        <v>1699</v>
      </c>
    </row>
    <row r="18" spans="2:7" x14ac:dyDescent="0.3">
      <c r="B18" s="2"/>
      <c r="D18" s="1" t="s">
        <v>85</v>
      </c>
      <c r="E18" s="1" t="s">
        <v>86</v>
      </c>
      <c r="F18" s="1">
        <v>500</v>
      </c>
      <c r="G18" s="1">
        <v>700</v>
      </c>
    </row>
    <row r="19" spans="2:7" x14ac:dyDescent="0.3">
      <c r="B19" s="2"/>
    </row>
    <row r="20" spans="2:7" x14ac:dyDescent="0.3">
      <c r="B20" s="2"/>
    </row>
    <row r="21" spans="2:7" x14ac:dyDescent="0.3">
      <c r="B21" s="2"/>
    </row>
    <row r="22" spans="2:7" x14ac:dyDescent="0.3">
      <c r="B22" s="2"/>
    </row>
    <row r="23" spans="2:7" x14ac:dyDescent="0.3">
      <c r="B23" s="2"/>
    </row>
    <row r="24" spans="2:7" x14ac:dyDescent="0.3">
      <c r="B24" s="2"/>
    </row>
    <row r="25" spans="2:7" x14ac:dyDescent="0.3">
      <c r="B25" s="2"/>
    </row>
    <row r="26" spans="2:7" x14ac:dyDescent="0.3">
      <c r="B26" s="2"/>
    </row>
    <row r="27" spans="2:7" x14ac:dyDescent="0.3">
      <c r="B27" s="2"/>
    </row>
    <row r="28" spans="2:7" x14ac:dyDescent="0.3">
      <c r="B28" s="2"/>
    </row>
    <row r="29" spans="2:7" x14ac:dyDescent="0.3">
      <c r="B29" s="2"/>
    </row>
    <row r="30" spans="2:7" x14ac:dyDescent="0.3">
      <c r="B30" s="2"/>
    </row>
    <row r="31" spans="2:7" x14ac:dyDescent="0.3">
      <c r="B31" s="2"/>
    </row>
    <row r="32" spans="2:7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A70F-C048-4AC4-9B07-EFF97092D3AD}">
  <dimension ref="B2:H42"/>
  <sheetViews>
    <sheetView showGridLines="0" showRowColHeaders="0" zoomScale="92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11.21875" style="1" customWidth="1"/>
    <col min="5" max="5" width="31.5546875" style="1" bestFit="1" customWidth="1"/>
    <col min="6" max="6" width="17.77734375" style="1" bestFit="1" customWidth="1"/>
    <col min="7" max="7" width="15.6640625" style="1" customWidth="1"/>
    <col min="8" max="8" width="37.21875" style="1" bestFit="1" customWidth="1"/>
    <col min="9" max="16384" width="8.88671875" style="1"/>
  </cols>
  <sheetData>
    <row r="2" spans="2:8" x14ac:dyDescent="0.3">
      <c r="B2" s="2"/>
    </row>
    <row r="3" spans="2:8" x14ac:dyDescent="0.3">
      <c r="B3" s="2"/>
    </row>
    <row r="4" spans="2:8" x14ac:dyDescent="0.3">
      <c r="B4" s="2"/>
    </row>
    <row r="5" spans="2:8" x14ac:dyDescent="0.3">
      <c r="B5" s="2"/>
    </row>
    <row r="6" spans="2:8" x14ac:dyDescent="0.3">
      <c r="B6" s="2"/>
    </row>
    <row r="7" spans="2:8" x14ac:dyDescent="0.3">
      <c r="B7" s="2"/>
      <c r="D7" t="s">
        <v>28</v>
      </c>
      <c r="E7" t="s">
        <v>52</v>
      </c>
      <c r="F7" t="s">
        <v>53</v>
      </c>
      <c r="G7" t="s">
        <v>54</v>
      </c>
      <c r="H7" t="s">
        <v>3</v>
      </c>
    </row>
    <row r="8" spans="2:8" x14ac:dyDescent="0.3">
      <c r="B8" s="2"/>
      <c r="D8" t="str">
        <f>IFERROR(productsdata[[#This Row],[HSN Code]],"")</f>
        <v>N1001</v>
      </c>
      <c r="E8" t="str">
        <f>IFERROR(productsdata[[#This Row],[PName]],"")</f>
        <v>Wireless Earbuds</v>
      </c>
      <c r="F8" t="s">
        <v>55</v>
      </c>
      <c r="G8">
        <v>9823011223</v>
      </c>
      <c r="H8" t="s">
        <v>56</v>
      </c>
    </row>
    <row r="9" spans="2:8" x14ac:dyDescent="0.3">
      <c r="B9" s="2"/>
      <c r="D9" t="str">
        <f>IFERROR(productsdata[[#This Row],[HSN Code]],"")</f>
        <v>N1002</v>
      </c>
      <c r="E9" t="str">
        <f>IFERROR(productsdata[[#This Row],[PName]],"")</f>
        <v>Smartphone 128GB</v>
      </c>
      <c r="F9" t="s">
        <v>55</v>
      </c>
      <c r="G9">
        <v>9890122334</v>
      </c>
      <c r="H9" t="s">
        <v>57</v>
      </c>
    </row>
    <row r="10" spans="2:8" x14ac:dyDescent="0.3">
      <c r="B10" s="2"/>
      <c r="D10" t="str">
        <f>IFERROR(productsdata[[#This Row],[HSN Code]],"")</f>
        <v>N1003</v>
      </c>
      <c r="E10" t="str">
        <f>IFERROR(productsdata[[#This Row],[PName]],"")</f>
        <v>Business Laptop 15.6"</v>
      </c>
      <c r="F10" t="s">
        <v>58</v>
      </c>
      <c r="G10">
        <v>9765433445</v>
      </c>
      <c r="H10" t="s">
        <v>59</v>
      </c>
    </row>
    <row r="11" spans="2:8" x14ac:dyDescent="0.3">
      <c r="B11" s="2"/>
      <c r="D11" t="str">
        <f>IFERROR(productsdata[[#This Row],[HSN Code]],"")</f>
        <v>N1004</v>
      </c>
      <c r="E11" t="str">
        <f>IFERROR(productsdata[[#This Row],[PName]],"")</f>
        <v>27" Full HD Monitor</v>
      </c>
      <c r="F11" t="s">
        <v>60</v>
      </c>
      <c r="G11">
        <v>9811244556</v>
      </c>
      <c r="H11" t="s">
        <v>61</v>
      </c>
    </row>
    <row r="12" spans="2:8" x14ac:dyDescent="0.3">
      <c r="B12" s="2"/>
      <c r="D12" t="str">
        <f>IFERROR(productsdata[[#This Row],[HSN Code]],"")</f>
        <v>N1005</v>
      </c>
      <c r="E12" t="str">
        <f>IFERROR(productsdata[[#This Row],[PName]],"")</f>
        <v>Mechanical Gaming Keyboard</v>
      </c>
      <c r="F12" t="s">
        <v>60</v>
      </c>
      <c r="G12">
        <v>9922355667</v>
      </c>
      <c r="H12" t="s">
        <v>62</v>
      </c>
    </row>
    <row r="13" spans="2:8" x14ac:dyDescent="0.3">
      <c r="B13" s="2"/>
      <c r="D13" t="str">
        <f>IFERROR(productsdata[[#This Row],[HSN Code]],"")</f>
        <v>N1006</v>
      </c>
      <c r="E13" t="str">
        <f>IFERROR(productsdata[[#This Row],[PName]],"")</f>
        <v>Ergonomic Wireless Mouse</v>
      </c>
      <c r="F13" t="s">
        <v>63</v>
      </c>
      <c r="G13">
        <v>9845066778</v>
      </c>
      <c r="H13" t="s">
        <v>64</v>
      </c>
    </row>
    <row r="14" spans="2:8" x14ac:dyDescent="0.3">
      <c r="B14" s="2"/>
      <c r="D14" t="str">
        <f>IFERROR(productsdata[[#This Row],[HSN Code]],"")</f>
        <v>N1007</v>
      </c>
      <c r="E14" t="str">
        <f>IFERROR(productsdata[[#This Row],[PName]],"")</f>
        <v>Portable Bluetooth Speaker</v>
      </c>
      <c r="F14" t="s">
        <v>63</v>
      </c>
      <c r="G14">
        <v>9711777889</v>
      </c>
      <c r="H14" t="s">
        <v>65</v>
      </c>
    </row>
    <row r="15" spans="2:8" x14ac:dyDescent="0.3">
      <c r="B15" s="2"/>
      <c r="D15" t="str">
        <f>IFERROR(productsdata[[#This Row],[HSN Code]],"")</f>
        <v>N1008</v>
      </c>
      <c r="E15" t="str">
        <f>IFERROR(productsdata[[#This Row],[PName]],"")</f>
        <v>Dual-Band Wi-Fi Router</v>
      </c>
      <c r="F15" t="s">
        <v>55</v>
      </c>
      <c r="G15">
        <v>9822888990</v>
      </c>
      <c r="H15" t="s">
        <v>66</v>
      </c>
    </row>
    <row r="16" spans="2:8" x14ac:dyDescent="0.3">
      <c r="B16" s="2"/>
      <c r="D16" t="str">
        <f>IFERROR(productsdata[[#This Row],[HSN Code]],"")</f>
        <v>N1009</v>
      </c>
      <c r="E16" t="str">
        <f>IFERROR(productsdata[[#This Row],[PName]],"")</f>
        <v>43" 4K Smart TV</v>
      </c>
      <c r="F16" t="s">
        <v>58</v>
      </c>
      <c r="G16">
        <v>9933999001</v>
      </c>
      <c r="H16" t="s">
        <v>67</v>
      </c>
    </row>
    <row r="17" spans="2:8" x14ac:dyDescent="0.3">
      <c r="B17" s="2"/>
      <c r="D17" t="str">
        <f>IFERROR(productsdata[[#This Row],[HSN Code]],"")</f>
        <v>N1010</v>
      </c>
      <c r="E17" t="str">
        <f>IFERROR(productsdata[[#This Row],[PName]],"")</f>
        <v>20000mAh Fast Charging Power Bank</v>
      </c>
      <c r="F17" t="s">
        <v>63</v>
      </c>
      <c r="G17">
        <v>9876000112</v>
      </c>
      <c r="H17" t="s">
        <v>68</v>
      </c>
    </row>
    <row r="18" spans="2:8" x14ac:dyDescent="0.3">
      <c r="B18" s="2"/>
      <c r="D18" t="str">
        <f>IFERROR(productsdata[[#This Row],[HSN Code]],"")</f>
        <v>N1011</v>
      </c>
      <c r="E18" t="str">
        <f>IFERROR(productsdata[[#This Row],[PName]],"")</f>
        <v>Mouse</v>
      </c>
      <c r="F18" s="1" t="s">
        <v>63</v>
      </c>
      <c r="G18" s="1">
        <v>9876000112</v>
      </c>
      <c r="H18" t="s">
        <v>68</v>
      </c>
    </row>
    <row r="19" spans="2:8" x14ac:dyDescent="0.3">
      <c r="B19" s="2"/>
    </row>
    <row r="20" spans="2:8" x14ac:dyDescent="0.3">
      <c r="B20" s="2"/>
    </row>
    <row r="21" spans="2:8" x14ac:dyDescent="0.3">
      <c r="B21" s="2"/>
    </row>
    <row r="22" spans="2:8" x14ac:dyDescent="0.3">
      <c r="B22" s="2"/>
    </row>
    <row r="23" spans="2:8" x14ac:dyDescent="0.3">
      <c r="B23" s="2"/>
    </row>
    <row r="24" spans="2:8" x14ac:dyDescent="0.3">
      <c r="B24" s="2"/>
    </row>
    <row r="25" spans="2:8" x14ac:dyDescent="0.3">
      <c r="B25" s="2"/>
    </row>
    <row r="26" spans="2:8" x14ac:dyDescent="0.3">
      <c r="B26" s="2"/>
    </row>
    <row r="27" spans="2:8" x14ac:dyDescent="0.3">
      <c r="B27" s="2"/>
    </row>
    <row r="28" spans="2:8" x14ac:dyDescent="0.3">
      <c r="B28" s="2"/>
    </row>
    <row r="29" spans="2:8" x14ac:dyDescent="0.3">
      <c r="B29" s="2"/>
    </row>
    <row r="30" spans="2:8" x14ac:dyDescent="0.3">
      <c r="B30" s="2"/>
    </row>
    <row r="31" spans="2:8" x14ac:dyDescent="0.3">
      <c r="B31" s="2"/>
    </row>
    <row r="32" spans="2:8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B04-DE3E-4334-8D9F-9CE9B5AE570B}">
  <dimension ref="B2:E42"/>
  <sheetViews>
    <sheetView showGridLines="0" showRowColHeaders="0" zoomScale="92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8.88671875" style="1"/>
    <col min="5" max="5" width="15" style="1" customWidth="1"/>
    <col min="6" max="16384" width="8.88671875" style="1"/>
  </cols>
  <sheetData>
    <row r="2" spans="2:5" x14ac:dyDescent="0.3">
      <c r="B2" s="2"/>
    </row>
    <row r="3" spans="2:5" x14ac:dyDescent="0.3">
      <c r="B3" s="2"/>
    </row>
    <row r="4" spans="2:5" x14ac:dyDescent="0.3">
      <c r="B4" s="2"/>
    </row>
    <row r="5" spans="2:5" x14ac:dyDescent="0.3">
      <c r="B5" s="2"/>
    </row>
    <row r="6" spans="2:5" x14ac:dyDescent="0.3">
      <c r="B6" s="2"/>
    </row>
    <row r="7" spans="2:5" x14ac:dyDescent="0.3">
      <c r="B7" s="2"/>
    </row>
    <row r="8" spans="2:5" x14ac:dyDescent="0.3">
      <c r="B8" s="2"/>
    </row>
    <row r="9" spans="2:5" x14ac:dyDescent="0.3">
      <c r="B9" s="2"/>
    </row>
    <row r="10" spans="2:5" ht="18" x14ac:dyDescent="0.35">
      <c r="B10" s="2"/>
      <c r="E10" s="19" t="s">
        <v>69</v>
      </c>
    </row>
    <row r="11" spans="2:5" x14ac:dyDescent="0.3">
      <c r="B11" s="2"/>
    </row>
    <row r="12" spans="2:5" ht="18" x14ac:dyDescent="0.35">
      <c r="B12" s="2"/>
      <c r="E12" s="20" t="s">
        <v>70</v>
      </c>
    </row>
    <row r="13" spans="2:5" x14ac:dyDescent="0.3">
      <c r="B13" s="2"/>
    </row>
    <row r="14" spans="2:5" x14ac:dyDescent="0.3">
      <c r="B14" s="2"/>
    </row>
    <row r="15" spans="2:5" x14ac:dyDescent="0.3">
      <c r="B15" s="2"/>
    </row>
    <row r="16" spans="2:5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hyperlinks>
    <hyperlink ref="E10" location="Purchase!A1" display="Purchase" xr:uid="{779F7AA6-3EC2-42F8-9EA2-6B49AEB6CC1A}"/>
    <hyperlink ref="E12" location="Sales!A1" display="Sales" xr:uid="{EEB14B38-6692-4A85-B7A2-89011CA2F98A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FFBD-026F-4DA4-8FCC-6AE8F80D5C4D}">
  <dimension ref="B2:J42"/>
  <sheetViews>
    <sheetView showGridLines="0" showRowColHeaders="0" zoomScale="92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11" style="1" customWidth="1"/>
    <col min="5" max="5" width="31.5546875" style="1" bestFit="1" customWidth="1"/>
    <col min="6" max="6" width="15.5546875" style="1" bestFit="1" customWidth="1"/>
    <col min="7" max="7" width="13.77734375" style="1" customWidth="1"/>
    <col min="8" max="8" width="7.21875" style="1" customWidth="1"/>
    <col min="9" max="9" width="6.5546875" style="1" customWidth="1"/>
    <col min="10" max="10" width="9.77734375" style="1" customWidth="1"/>
    <col min="11" max="16384" width="8.88671875" style="1"/>
  </cols>
  <sheetData>
    <row r="2" spans="2:10" x14ac:dyDescent="0.3">
      <c r="B2" s="2"/>
    </row>
    <row r="3" spans="2:10" x14ac:dyDescent="0.3">
      <c r="B3" s="2"/>
    </row>
    <row r="4" spans="2:10" x14ac:dyDescent="0.3">
      <c r="B4" s="2"/>
    </row>
    <row r="5" spans="2:10" x14ac:dyDescent="0.3">
      <c r="B5" s="2"/>
    </row>
    <row r="6" spans="2:10" x14ac:dyDescent="0.3">
      <c r="B6" s="2"/>
    </row>
    <row r="7" spans="2:10" x14ac:dyDescent="0.3">
      <c r="B7" s="2"/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30</v>
      </c>
      <c r="J7" t="s">
        <v>76</v>
      </c>
    </row>
    <row r="8" spans="2:10" x14ac:dyDescent="0.3">
      <c r="B8" s="2"/>
      <c r="D8" t="s">
        <v>38</v>
      </c>
      <c r="E8" t="str">
        <f>IFERROR(VLOOKUP(Table5[[#This Row],[HSN code]],productsdata[#All],2,0),"")</f>
        <v>27" Full HD Monitor</v>
      </c>
      <c r="F8" t="str">
        <f>IFERROR(VLOOKUP(Table5[[#This Row],[HSN code]],Vendorsdata[#All],3,0),"")</f>
        <v>Prime Electronics</v>
      </c>
      <c r="G8" s="5">
        <v>46322</v>
      </c>
      <c r="H8">
        <v>5</v>
      </c>
      <c r="I8">
        <f>IFERROR(VLOOKUP(Table5[[#This Row],[HSN code]],productsdata[#All],3,0),"")</f>
        <v>9500</v>
      </c>
      <c r="J8">
        <f>IFERROR(Table5[[#This Row],[Units]]*Table5[[#This Row],[Cost]],"")</f>
        <v>47500</v>
      </c>
    </row>
    <row r="9" spans="2:10" x14ac:dyDescent="0.3">
      <c r="B9" s="2"/>
      <c r="D9" t="s">
        <v>42</v>
      </c>
      <c r="E9" t="str">
        <f>IFERROR(VLOOKUP(Table5[[#This Row],[HSN code]],productsdata[#All],2,0),"")</f>
        <v>Ergonomic Wireless Mouse</v>
      </c>
      <c r="F9" t="str">
        <f>IFERROR(VLOOKUP(Table5[[#This Row],[HSN code]],Vendorsdata[#All],3,0),"")</f>
        <v>Nexus Enterprises</v>
      </c>
      <c r="G9" s="5">
        <v>46322</v>
      </c>
      <c r="H9">
        <v>10</v>
      </c>
      <c r="I9">
        <f>IFERROR(VLOOKUP(Table5[[#This Row],[HSN code]],productsdata[#All],3,0),"")</f>
        <v>600</v>
      </c>
      <c r="J9">
        <f>IFERROR(Table5[[#This Row],[Units]]*Table5[[#This Row],[Cost]],"")</f>
        <v>6000</v>
      </c>
    </row>
    <row r="10" spans="2:10" x14ac:dyDescent="0.3">
      <c r="B10" s="2"/>
      <c r="D10" t="s">
        <v>40</v>
      </c>
      <c r="E10" t="str">
        <f>IFERROR(VLOOKUP(Table5[[#This Row],[HSN code]],productsdata[#All],2,0),"")</f>
        <v>Mechanical Gaming Keyboard</v>
      </c>
      <c r="F10" t="str">
        <f>IFERROR(VLOOKUP(Table5[[#This Row],[HSN code]],Vendorsdata[#All],3,0),"")</f>
        <v>Prime Electronics</v>
      </c>
      <c r="G10" s="5">
        <v>46307</v>
      </c>
      <c r="H10">
        <v>6</v>
      </c>
      <c r="I10">
        <f>IFERROR(VLOOKUP(Table5[[#This Row],[HSN code]],productsdata[#All],3,0),"")</f>
        <v>1800</v>
      </c>
      <c r="J10">
        <f>IFERROR(Table5[[#This Row],[Units]]*Table5[[#This Row],[Cost]],"")</f>
        <v>10800</v>
      </c>
    </row>
    <row r="11" spans="2:10" x14ac:dyDescent="0.3">
      <c r="B11" s="2"/>
      <c r="D11" t="s">
        <v>42</v>
      </c>
      <c r="E11" t="str">
        <f>IFERROR(VLOOKUP(Table5[[#This Row],[HSN code]],productsdata[#All],2,0),"")</f>
        <v>Ergonomic Wireless Mouse</v>
      </c>
      <c r="F11" t="str">
        <f>IFERROR(VLOOKUP(Table5[[#This Row],[HSN code]],Vendorsdata[#All],3,0),"")</f>
        <v>Nexus Enterprises</v>
      </c>
      <c r="G11" s="5">
        <v>46305</v>
      </c>
      <c r="H11">
        <v>2</v>
      </c>
      <c r="I11">
        <f>IFERROR(VLOOKUP(Table5[[#This Row],[HSN code]],productsdata[#All],3,0),"")</f>
        <v>600</v>
      </c>
      <c r="J11">
        <f>IFERROR(Table5[[#This Row],[Units]]*Table5[[#This Row],[Cost]],"")</f>
        <v>1200</v>
      </c>
    </row>
    <row r="12" spans="2:10" x14ac:dyDescent="0.3">
      <c r="B12" s="2"/>
      <c r="D12" t="s">
        <v>34</v>
      </c>
      <c r="E12" t="str">
        <f>IFERROR(VLOOKUP(Table5[[#This Row],[HSN code]],productsdata[#All],2,0),"")</f>
        <v>Smartphone 128GB</v>
      </c>
      <c r="F12" t="str">
        <f>IFERROR(VLOOKUP(Table5[[#This Row],[HSN code]],Vendorsdata[#All],3,0),"")</f>
        <v>Apex Distributors</v>
      </c>
      <c r="G12" s="5">
        <v>46300</v>
      </c>
      <c r="H12">
        <v>30</v>
      </c>
      <c r="I12">
        <f>IFERROR(VLOOKUP(Table5[[#This Row],[HSN code]],productsdata[#All],3,0),"")</f>
        <v>18000</v>
      </c>
      <c r="J12">
        <f>IFERROR(Table5[[#This Row],[Units]]*Table5[[#This Row],[Cost]],"")</f>
        <v>540000</v>
      </c>
    </row>
    <row r="13" spans="2:10" x14ac:dyDescent="0.3">
      <c r="B13" s="2"/>
      <c r="D13" t="s">
        <v>34</v>
      </c>
      <c r="E13" t="str">
        <f>IFERROR(VLOOKUP(Table5[[#This Row],[HSN code]],productsdata[#All],2,0),"")</f>
        <v>Smartphone 128GB</v>
      </c>
      <c r="F13" t="str">
        <f>IFERROR(VLOOKUP(Table5[[#This Row],[HSN code]],Vendorsdata[#All],3,0),"")</f>
        <v>Apex Distributors</v>
      </c>
      <c r="G13" s="5">
        <v>46325</v>
      </c>
      <c r="H13">
        <v>13</v>
      </c>
      <c r="I13">
        <f>IFERROR(VLOOKUP(Table5[[#This Row],[HSN code]],productsdata[#All],3,0),"")</f>
        <v>18000</v>
      </c>
      <c r="J13">
        <f>IFERROR(Table5[[#This Row],[Units]]*Table5[[#This Row],[Cost]],"")</f>
        <v>234000</v>
      </c>
    </row>
    <row r="14" spans="2:10" x14ac:dyDescent="0.3">
      <c r="B14" s="2"/>
      <c r="D14" t="s">
        <v>50</v>
      </c>
      <c r="E14" t="str">
        <f>IFERROR(VLOOKUP(Table5[[#This Row],[HSN code]],productsdata[#All],2,0),"")</f>
        <v>20000mAh Fast Charging Power Bank</v>
      </c>
      <c r="F14" t="str">
        <f>IFERROR(VLOOKUP(Table5[[#This Row],[HSN code]],Vendorsdata[#All],3,0),"")</f>
        <v>Nexus Enterprises</v>
      </c>
      <c r="G14" s="5">
        <v>46266</v>
      </c>
      <c r="H14">
        <v>16</v>
      </c>
      <c r="I14">
        <f>IFERROR(VLOOKUP(Table5[[#This Row],[HSN code]],productsdata[#All],3,0),"")</f>
        <v>900</v>
      </c>
      <c r="J14">
        <f>IFERROR(Table5[[#This Row],[Units]]*Table5[[#This Row],[Cost]],"")</f>
        <v>14400</v>
      </c>
    </row>
    <row r="15" spans="2:10" x14ac:dyDescent="0.3">
      <c r="B15" s="2"/>
      <c r="D15" t="s">
        <v>44</v>
      </c>
      <c r="E15" t="str">
        <f>IFERROR(VLOOKUP(Table5[[#This Row],[HSN code]],productsdata[#All],2,0),"")</f>
        <v>Portable Bluetooth Speaker</v>
      </c>
      <c r="F15" t="str">
        <f>IFERROR(VLOOKUP(Table5[[#This Row],[HSN code]],Vendorsdata[#All],3,0),"")</f>
        <v>Nexus Enterprises</v>
      </c>
      <c r="G15" s="5">
        <v>46305</v>
      </c>
      <c r="H15">
        <v>10</v>
      </c>
      <c r="I15">
        <f>IFERROR(VLOOKUP(Table5[[#This Row],[HSN code]],productsdata[#All],3,0),"")</f>
        <v>1200</v>
      </c>
      <c r="J15">
        <f>IFERROR(Table5[[#This Row],[Units]]*Table5[[#This Row],[Cost]],"")</f>
        <v>12000</v>
      </c>
    </row>
    <row r="16" spans="2:10" x14ac:dyDescent="0.3">
      <c r="B16" s="2"/>
      <c r="D16" t="s">
        <v>32</v>
      </c>
      <c r="E16" t="str">
        <f>IFERROR(VLOOKUP(Table5[[#This Row],[HSN code]],productsdata[#All],2,0),"")</f>
        <v>Wireless Earbuds</v>
      </c>
      <c r="F16" t="str">
        <f>IFERROR(VLOOKUP(Table5[[#This Row],[HSN code]],Vendorsdata[#All],3,0),"")</f>
        <v>Apex Distributors</v>
      </c>
      <c r="G16" s="5">
        <v>46318</v>
      </c>
      <c r="H16">
        <v>20</v>
      </c>
      <c r="I16">
        <f>IFERROR(VLOOKUP(Table5[[#This Row],[HSN code]],productsdata[#All],3,0),"")</f>
        <v>1500</v>
      </c>
      <c r="J16">
        <f>IFERROR(Table5[[#This Row],[Units]]*Table5[[#This Row],[Cost]],"")</f>
        <v>30000</v>
      </c>
    </row>
    <row r="17" spans="2:10" x14ac:dyDescent="0.3">
      <c r="B17" s="2"/>
      <c r="D17" t="s">
        <v>34</v>
      </c>
      <c r="E17" t="str">
        <f>IFERROR(VLOOKUP(Table5[[#This Row],[HSN code]],productsdata[#All],2,0),"")</f>
        <v>Smartphone 128GB</v>
      </c>
      <c r="F17" t="str">
        <f>IFERROR(VLOOKUP(Table5[[#This Row],[HSN code]],Vendorsdata[#All],3,0),"")</f>
        <v>Apex Distributors</v>
      </c>
      <c r="G17" s="5">
        <v>46309</v>
      </c>
      <c r="H17">
        <v>2</v>
      </c>
      <c r="I17">
        <f>IFERROR(VLOOKUP(Table5[[#This Row],[HSN code]],productsdata[#All],3,0),"")</f>
        <v>18000</v>
      </c>
      <c r="J17">
        <f>IFERROR(Table5[[#This Row],[Units]]*Table5[[#This Row],[Cost]],"")</f>
        <v>36000</v>
      </c>
    </row>
    <row r="18" spans="2:10" x14ac:dyDescent="0.3">
      <c r="B18" s="2"/>
      <c r="D18" s="1" t="s">
        <v>42</v>
      </c>
      <c r="E18" s="1" t="str">
        <f>IFERROR(VLOOKUP(Table5[[#This Row],[HSN code]],productsdata[#All],2,0),"")</f>
        <v>Ergonomic Wireless Mouse</v>
      </c>
      <c r="F18" s="1" t="str">
        <f>IFERROR(VLOOKUP(Table5[[#This Row],[HSN code]],Vendorsdata[#All],3,0),"")</f>
        <v>Nexus Enterprises</v>
      </c>
      <c r="G18" s="3">
        <v>46322</v>
      </c>
      <c r="H18" s="1">
        <v>10</v>
      </c>
      <c r="I18" s="1">
        <f>IFERROR(VLOOKUP(Table5[[#This Row],[HSN code]],productsdata[#All],3,0),"")</f>
        <v>600</v>
      </c>
      <c r="J18" s="1">
        <f>IFERROR(Table5[[#This Row],[Units]]*Table5[[#This Row],[Cost]],"")</f>
        <v>6000</v>
      </c>
    </row>
    <row r="19" spans="2:10" x14ac:dyDescent="0.3">
      <c r="B19" s="2"/>
      <c r="D19" s="1" t="s">
        <v>85</v>
      </c>
      <c r="E19" s="1" t="str">
        <f>IFERROR(VLOOKUP(Table5[[#This Row],[HSN code]],productsdata[#All],2,0),"")</f>
        <v>Mouse</v>
      </c>
      <c r="F19" s="1" t="str">
        <f>IFERROR(VLOOKUP(Table5[[#This Row],[HSN code]],Vendorsdata[#All],3,0),"")</f>
        <v>Nexus Enterprises</v>
      </c>
      <c r="G19" s="3">
        <v>46322</v>
      </c>
      <c r="H19" s="1">
        <v>50</v>
      </c>
      <c r="I19" s="1">
        <f>IFERROR(VLOOKUP(Table5[[#This Row],[HSN code]],productsdata[#All],3,0),"")</f>
        <v>500</v>
      </c>
      <c r="J19" s="1">
        <f>IFERROR(Table5[[#This Row],[Units]]*Table5[[#This Row],[Cost]],"")</f>
        <v>25000</v>
      </c>
    </row>
    <row r="20" spans="2:10" x14ac:dyDescent="0.3">
      <c r="B20" s="2"/>
    </row>
    <row r="21" spans="2:10" x14ac:dyDescent="0.3">
      <c r="B21" s="2"/>
    </row>
    <row r="22" spans="2:10" x14ac:dyDescent="0.3">
      <c r="B22" s="2"/>
    </row>
    <row r="23" spans="2:10" x14ac:dyDescent="0.3">
      <c r="B23" s="2"/>
    </row>
    <row r="24" spans="2:10" x14ac:dyDescent="0.3">
      <c r="B24" s="2"/>
    </row>
    <row r="25" spans="2:10" x14ac:dyDescent="0.3">
      <c r="B25" s="2"/>
    </row>
    <row r="26" spans="2:10" x14ac:dyDescent="0.3">
      <c r="B26" s="2"/>
    </row>
    <row r="27" spans="2:10" x14ac:dyDescent="0.3">
      <c r="B27" s="2"/>
    </row>
    <row r="28" spans="2:10" x14ac:dyDescent="0.3">
      <c r="B28" s="2"/>
    </row>
    <row r="29" spans="2:10" x14ac:dyDescent="0.3">
      <c r="B29" s="2"/>
    </row>
    <row r="30" spans="2:10" x14ac:dyDescent="0.3">
      <c r="B30" s="2"/>
    </row>
    <row r="31" spans="2:10" x14ac:dyDescent="0.3">
      <c r="B31" s="2"/>
    </row>
    <row r="32" spans="2:10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dataValidations count="1">
    <dataValidation type="list" allowBlank="1" showInputMessage="1" showErrorMessage="1" sqref="D8:D19" xr:uid="{623B65BF-0D54-474E-839E-EC0DCA260C02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56A0-4CC6-4D1A-8C3F-B0F4A4C35DC6}">
  <dimension ref="B2:L42"/>
  <sheetViews>
    <sheetView showGridLines="0" showRowColHeaders="0" zoomScale="92" zoomScaleNormal="92" workbookViewId="0"/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8.88671875" style="1"/>
    <col min="5" max="5" width="16.21875" style="1" customWidth="1"/>
    <col min="6" max="6" width="11.77734375" style="1" customWidth="1"/>
    <col min="7" max="7" width="31.5546875" style="1" bestFit="1" customWidth="1"/>
    <col min="8" max="8" width="15" style="1" customWidth="1"/>
    <col min="9" max="9" width="13.21875" style="1" customWidth="1"/>
    <col min="10" max="11" width="8.88671875" style="1"/>
    <col min="12" max="12" width="9.77734375" style="1" customWidth="1"/>
    <col min="13" max="16384" width="8.88671875" style="1"/>
  </cols>
  <sheetData>
    <row r="2" spans="2:12" x14ac:dyDescent="0.3">
      <c r="B2" s="2"/>
    </row>
    <row r="3" spans="2:12" x14ac:dyDescent="0.3">
      <c r="B3" s="2"/>
    </row>
    <row r="4" spans="2:12" x14ac:dyDescent="0.3">
      <c r="B4" s="2"/>
    </row>
    <row r="5" spans="2:12" x14ac:dyDescent="0.3">
      <c r="B5" s="2"/>
    </row>
    <row r="6" spans="2:12" x14ac:dyDescent="0.3">
      <c r="B6" s="2"/>
    </row>
    <row r="7" spans="2:12" x14ac:dyDescent="0.3">
      <c r="B7" s="2"/>
      <c r="D7" t="s">
        <v>0</v>
      </c>
      <c r="E7" t="s">
        <v>77</v>
      </c>
      <c r="F7" t="s">
        <v>78</v>
      </c>
      <c r="G7" t="s">
        <v>72</v>
      </c>
      <c r="H7" t="s">
        <v>74</v>
      </c>
      <c r="I7" t="s">
        <v>79</v>
      </c>
      <c r="J7" t="s">
        <v>75</v>
      </c>
      <c r="K7" t="s">
        <v>80</v>
      </c>
      <c r="L7" t="s">
        <v>76</v>
      </c>
    </row>
    <row r="8" spans="2:12" x14ac:dyDescent="0.3">
      <c r="B8" s="2"/>
      <c r="D8" t="s">
        <v>12</v>
      </c>
      <c r="E8" t="str">
        <f>IFERROR(VLOOKUP(salesdata[[#This Row],[C_ID]],customersdata[#All],2,0),"")</f>
        <v>Rohan Verma</v>
      </c>
      <c r="F8" t="s">
        <v>34</v>
      </c>
      <c r="G8" t="str">
        <f>IFERROR(VLOOKUP(salesdata[[#This Row],[HSN_Code]],productsdata[#All],2,0),"")</f>
        <v>Smartphone 128GB</v>
      </c>
      <c r="H8" s="5">
        <v>46307</v>
      </c>
      <c r="I8">
        <f>IFERROR(VLOOKUP(salesdata[[#This Row],[HSN_Code]],Table7[#All],6,0),"")</f>
        <v>36</v>
      </c>
      <c r="J8">
        <v>5</v>
      </c>
      <c r="K8">
        <f>IFERROR(VLOOKUP(salesdata[[#This Row],[HSN_Code]],productsdata[#All],4,0),"")</f>
        <v>24999</v>
      </c>
      <c r="L8">
        <f>IFERROR(salesdata[[#This Row],[Units]]*salesdata[[#This Row],[Price ]],"")</f>
        <v>124995</v>
      </c>
    </row>
    <row r="9" spans="2:12" x14ac:dyDescent="0.3">
      <c r="B9" s="2"/>
      <c r="D9" t="s">
        <v>16</v>
      </c>
      <c r="E9" t="str">
        <f>IFERROR(VLOOKUP(salesdata[[#This Row],[C_ID]],customersdata[#All],2,0),"")</f>
        <v>Ananya Iyer</v>
      </c>
      <c r="F9" t="s">
        <v>36</v>
      </c>
      <c r="G9" t="str">
        <f>IFERROR(VLOOKUP(salesdata[[#This Row],[HSN_Code]],productsdata[#All],2,0),"")</f>
        <v>Business Laptop 15.6"</v>
      </c>
      <c r="H9" s="5">
        <v>46305</v>
      </c>
      <c r="I9">
        <f>IFERROR(VLOOKUP(salesdata[[#This Row],[HSN_Code]],Table7[#All],6,0),"")</f>
        <v>0</v>
      </c>
      <c r="J9"/>
      <c r="K9">
        <f>IFERROR(VLOOKUP(salesdata[[#This Row],[HSN_Code]],productsdata[#All],4,0),"")</f>
        <v>54990</v>
      </c>
      <c r="L9">
        <f>IFERROR(salesdata[[#This Row],[Units]]*salesdata[[#This Row],[Price ]],"")</f>
        <v>0</v>
      </c>
    </row>
    <row r="10" spans="2:12" x14ac:dyDescent="0.3">
      <c r="B10" s="2"/>
      <c r="D10" t="s">
        <v>4</v>
      </c>
      <c r="E10" t="str">
        <f>IFERROR(VLOOKUP(salesdata[[#This Row],[C_ID]],customersdata[#All],2,0),"")</f>
        <v>Aarav Sharma</v>
      </c>
      <c r="F10" t="s">
        <v>40</v>
      </c>
      <c r="G10" t="str">
        <f>IFERROR(VLOOKUP(salesdata[[#This Row],[HSN_Code]],productsdata[#All],2,0),"")</f>
        <v>Mechanical Gaming Keyboard</v>
      </c>
      <c r="H10" s="5">
        <v>46306</v>
      </c>
      <c r="I10">
        <f>IFERROR(VLOOKUP(salesdata[[#This Row],[HSN_Code]],Table7[#All],6,0),"")</f>
        <v>3</v>
      </c>
      <c r="J10"/>
      <c r="K10">
        <f>IFERROR(VLOOKUP(salesdata[[#This Row],[HSN_Code]],productsdata[#All],4,0),"")</f>
        <v>3299</v>
      </c>
      <c r="L10">
        <f>IFERROR(salesdata[[#This Row],[Units]]*salesdata[[#This Row],[Price ]],"")</f>
        <v>0</v>
      </c>
    </row>
    <row r="11" spans="2:12" x14ac:dyDescent="0.3">
      <c r="B11" s="2"/>
      <c r="D11" t="s">
        <v>16</v>
      </c>
      <c r="E11" t="str">
        <f>IFERROR(VLOOKUP(salesdata[[#This Row],[C_ID]],customersdata[#All],2,0),"")</f>
        <v>Ananya Iyer</v>
      </c>
      <c r="F11" t="s">
        <v>40</v>
      </c>
      <c r="G11" t="str">
        <f>IFERROR(VLOOKUP(salesdata[[#This Row],[HSN_Code]],productsdata[#All],2,0),"")</f>
        <v>Mechanical Gaming Keyboard</v>
      </c>
      <c r="H11" s="5">
        <v>46296</v>
      </c>
      <c r="I11">
        <f>IFERROR(VLOOKUP(salesdata[[#This Row],[HSN_Code]],Table7[#All],6,0),"")</f>
        <v>3</v>
      </c>
      <c r="J11">
        <v>3</v>
      </c>
      <c r="K11">
        <f>IFERROR(VLOOKUP(salesdata[[#This Row],[HSN_Code]],productsdata[#All],4,0),"")</f>
        <v>3299</v>
      </c>
      <c r="L11">
        <f>IFERROR(salesdata[[#This Row],[Units]]*salesdata[[#This Row],[Price ]],"")</f>
        <v>9897</v>
      </c>
    </row>
    <row r="12" spans="2:12" x14ac:dyDescent="0.3">
      <c r="B12" s="2"/>
      <c r="D12" t="s">
        <v>12</v>
      </c>
      <c r="E12" t="str">
        <f>IFERROR(VLOOKUP(salesdata[[#This Row],[C_ID]],customersdata[#All],2,0),"")</f>
        <v>Rohan Verma</v>
      </c>
      <c r="F12" t="s">
        <v>38</v>
      </c>
      <c r="G12" t="str">
        <f>IFERROR(VLOOKUP(salesdata[[#This Row],[HSN_Code]],productsdata[#All],2,0),"")</f>
        <v>27" Full HD Monitor</v>
      </c>
      <c r="H12" s="5">
        <v>46318</v>
      </c>
      <c r="I12">
        <f>IFERROR(VLOOKUP(salesdata[[#This Row],[HSN_Code]],Table7[#All],6,0),"")</f>
        <v>4</v>
      </c>
      <c r="J12"/>
      <c r="K12">
        <f>IFERROR(VLOOKUP(salesdata[[#This Row],[HSN_Code]],productsdata[#All],4,0),"")</f>
        <v>13499</v>
      </c>
      <c r="L12">
        <f>IFERROR(salesdata[[#This Row],[Units]]*salesdata[[#This Row],[Price ]],"")</f>
        <v>0</v>
      </c>
    </row>
    <row r="13" spans="2:12" x14ac:dyDescent="0.3">
      <c r="B13" s="2"/>
      <c r="D13" t="s">
        <v>20</v>
      </c>
      <c r="E13" t="str">
        <f>IFERROR(VLOOKUP(salesdata[[#This Row],[C_ID]],customersdata[#All],2,0),"")</f>
        <v>Kabir Mehta</v>
      </c>
      <c r="F13" t="s">
        <v>44</v>
      </c>
      <c r="G13" t="str">
        <f>IFERROR(VLOOKUP(salesdata[[#This Row],[HSN_Code]],productsdata[#All],2,0),"")</f>
        <v>Portable Bluetooth Speaker</v>
      </c>
      <c r="H13" s="5">
        <v>46317</v>
      </c>
      <c r="I13">
        <f>IFERROR(VLOOKUP(salesdata[[#This Row],[HSN_Code]],Table7[#All],6,0),"")</f>
        <v>4</v>
      </c>
      <c r="J13">
        <v>2</v>
      </c>
      <c r="K13">
        <f>IFERROR(VLOOKUP(salesdata[[#This Row],[HSN_Code]],productsdata[#All],4,0),"")</f>
        <v>2499</v>
      </c>
      <c r="L13">
        <f>IFERROR(salesdata[[#This Row],[Units]]*salesdata[[#This Row],[Price ]],"")</f>
        <v>4998</v>
      </c>
    </row>
    <row r="14" spans="2:12" x14ac:dyDescent="0.3">
      <c r="B14" s="2"/>
      <c r="D14" t="s">
        <v>4</v>
      </c>
      <c r="E14" t="str">
        <f>IFERROR(VLOOKUP(salesdata[[#This Row],[C_ID]],customersdata[#All],2,0),"")</f>
        <v>Aarav Sharma</v>
      </c>
      <c r="F14" t="s">
        <v>38</v>
      </c>
      <c r="G14" t="str">
        <f>IFERROR(VLOOKUP(salesdata[[#This Row],[HSN_Code]],productsdata[#All],2,0),"")</f>
        <v>27" Full HD Monitor</v>
      </c>
      <c r="H14" s="5">
        <v>46325</v>
      </c>
      <c r="I14">
        <f>IFERROR(VLOOKUP(salesdata[[#This Row],[HSN_Code]],Table7[#All],6,0),"")</f>
        <v>4</v>
      </c>
      <c r="J14">
        <v>1</v>
      </c>
      <c r="K14">
        <f>IFERROR(VLOOKUP(salesdata[[#This Row],[HSN_Code]],productsdata[#All],4,0),"")</f>
        <v>13499</v>
      </c>
      <c r="L14">
        <f>IFERROR(salesdata[[#This Row],[Units]]*salesdata[[#This Row],[Price ]],"")</f>
        <v>13499</v>
      </c>
    </row>
    <row r="15" spans="2:12" x14ac:dyDescent="0.3">
      <c r="B15" s="2"/>
      <c r="D15" t="s">
        <v>16</v>
      </c>
      <c r="E15" t="str">
        <f>IFERROR(VLOOKUP(salesdata[[#This Row],[C_ID]],customersdata[#All],2,0),"")</f>
        <v>Ananya Iyer</v>
      </c>
      <c r="F15" t="s">
        <v>44</v>
      </c>
      <c r="G15" t="str">
        <f>IFERROR(VLOOKUP(salesdata[[#This Row],[HSN_Code]],productsdata[#All],2,0),"")</f>
        <v>Portable Bluetooth Speaker</v>
      </c>
      <c r="H15" s="5">
        <v>46309</v>
      </c>
      <c r="I15">
        <f>IFERROR(VLOOKUP(salesdata[[#This Row],[HSN_Code]],Table7[#All],6,0),"")</f>
        <v>4</v>
      </c>
      <c r="J15">
        <v>2</v>
      </c>
      <c r="K15">
        <f>IFERROR(VLOOKUP(salesdata[[#This Row],[HSN_Code]],productsdata[#All],4,0),"")</f>
        <v>2499</v>
      </c>
      <c r="L15">
        <f>IFERROR(salesdata[[#This Row],[Units]]*salesdata[[#This Row],[Price ]],"")</f>
        <v>4998</v>
      </c>
    </row>
    <row r="16" spans="2:12" x14ac:dyDescent="0.3">
      <c r="B16" s="2"/>
      <c r="D16" t="s">
        <v>20</v>
      </c>
      <c r="E16" t="str">
        <f>IFERROR(VLOOKUP(salesdata[[#This Row],[C_ID]],customersdata[#All],2,0),"")</f>
        <v>Kabir Mehta</v>
      </c>
      <c r="F16" t="s">
        <v>44</v>
      </c>
      <c r="G16" t="str">
        <f>IFERROR(VLOOKUP(salesdata[[#This Row],[HSN_Code]],productsdata[#All],2,0),"")</f>
        <v>Portable Bluetooth Speaker</v>
      </c>
      <c r="H16" s="5">
        <v>46296</v>
      </c>
      <c r="I16">
        <f>IFERROR(VLOOKUP(salesdata[[#This Row],[HSN_Code]],Table7[#All],6,0),"")</f>
        <v>4</v>
      </c>
      <c r="J16">
        <v>2</v>
      </c>
      <c r="K16">
        <f>IFERROR(VLOOKUP(salesdata[[#This Row],[HSN_Code]],productsdata[#All],4,0),"")</f>
        <v>2499</v>
      </c>
      <c r="L16">
        <f>IFERROR(salesdata[[#This Row],[Units]]*salesdata[[#This Row],[Price ]],"")</f>
        <v>4998</v>
      </c>
    </row>
    <row r="17" spans="2:12" x14ac:dyDescent="0.3">
      <c r="B17" s="2"/>
      <c r="D17" t="s">
        <v>20</v>
      </c>
      <c r="E17" t="str">
        <f>IFERROR(VLOOKUP(salesdata[[#This Row],[C_ID]],customersdata[#All],2,0),"")</f>
        <v>Kabir Mehta</v>
      </c>
      <c r="F17" t="s">
        <v>50</v>
      </c>
      <c r="G17" t="str">
        <f>IFERROR(VLOOKUP(salesdata[[#This Row],[HSN_Code]],productsdata[#All],2,0),"")</f>
        <v>20000mAh Fast Charging Power Bank</v>
      </c>
      <c r="H17" s="5">
        <v>46320</v>
      </c>
      <c r="I17">
        <f>IFERROR(VLOOKUP(salesdata[[#This Row],[HSN_Code]],Table7[#All],6,0),"")</f>
        <v>1</v>
      </c>
      <c r="J17">
        <v>15</v>
      </c>
      <c r="K17">
        <f>IFERROR(VLOOKUP(salesdata[[#This Row],[HSN_Code]],productsdata[#All],4,0),"")</f>
        <v>1699</v>
      </c>
      <c r="L17">
        <f>IFERROR(salesdata[[#This Row],[Units]]*salesdata[[#This Row],[Price ]],"")</f>
        <v>25485</v>
      </c>
    </row>
    <row r="18" spans="2:12" x14ac:dyDescent="0.3">
      <c r="B18" s="2"/>
      <c r="D18" t="s">
        <v>8</v>
      </c>
      <c r="E18" t="str">
        <f>IFERROR(VLOOKUP(salesdata[[#This Row],[C_ID]],customersdata[#All],2,0),"")</f>
        <v>Priya Patel</v>
      </c>
      <c r="F18" t="s">
        <v>34</v>
      </c>
      <c r="G18" t="str">
        <f>IFERROR(VLOOKUP(salesdata[[#This Row],[HSN_Code]],productsdata[#All],2,0),"")</f>
        <v>Smartphone 128GB</v>
      </c>
      <c r="H18" s="5">
        <v>46321</v>
      </c>
      <c r="I18">
        <f>IFERROR(VLOOKUP(salesdata[[#This Row],[HSN_Code]],Table7[#All],6,0),"")</f>
        <v>36</v>
      </c>
      <c r="J18">
        <v>4</v>
      </c>
      <c r="K18">
        <f>IFERROR(VLOOKUP(salesdata[[#This Row],[HSN_Code]],productsdata[#All],4,0),"")</f>
        <v>24999</v>
      </c>
      <c r="L18">
        <f>IFERROR(salesdata[[#This Row],[Units]]*salesdata[[#This Row],[Price ]],"")</f>
        <v>99996</v>
      </c>
    </row>
    <row r="19" spans="2:12" x14ac:dyDescent="0.3">
      <c r="B19" s="2"/>
      <c r="D19" t="s">
        <v>20</v>
      </c>
      <c r="E19" t="str">
        <f>IFERROR(VLOOKUP(salesdata[[#This Row],[C_ID]],customersdata[#All],2,0),"")</f>
        <v>Kabir Mehta</v>
      </c>
      <c r="F19" t="s">
        <v>36</v>
      </c>
      <c r="G19" t="str">
        <f>IFERROR(VLOOKUP(salesdata[[#This Row],[HSN_Code]],productsdata[#All],2,0),"")</f>
        <v>Business Laptop 15.6"</v>
      </c>
      <c r="H19" s="5">
        <v>46322</v>
      </c>
      <c r="I19">
        <f>IFERROR(VLOOKUP(salesdata[[#This Row],[HSN_Code]],Table7[#All],6,0),"")</f>
        <v>0</v>
      </c>
      <c r="J19"/>
      <c r="K19">
        <f>IFERROR(VLOOKUP(salesdata[[#This Row],[HSN_Code]],productsdata[#All],4,0),"")</f>
        <v>54990</v>
      </c>
      <c r="L19">
        <f>IFERROR(salesdata[[#This Row],[Units]]*salesdata[[#This Row],[Price ]],"")</f>
        <v>0</v>
      </c>
    </row>
    <row r="20" spans="2:12" x14ac:dyDescent="0.3">
      <c r="B20" s="2"/>
      <c r="D20" s="1" t="s">
        <v>20</v>
      </c>
      <c r="E20" s="1" t="str">
        <f>IFERROR(VLOOKUP(salesdata[[#This Row],[C_ID]],customersdata[#All],2,0),"")</f>
        <v>Kabir Mehta</v>
      </c>
      <c r="F20" s="1" t="s">
        <v>42</v>
      </c>
      <c r="G20" s="1" t="str">
        <f>IFERROR(VLOOKUP(salesdata[[#This Row],[HSN_Code]],productsdata[#All],2,0),"")</f>
        <v>Ergonomic Wireless Mouse</v>
      </c>
      <c r="H20" s="3">
        <v>46323</v>
      </c>
      <c r="I20">
        <f>IFERROR(VLOOKUP(salesdata[[#This Row],[HSN_Code]],Table7[#All],6,0),"")</f>
        <v>15</v>
      </c>
      <c r="J20" s="1">
        <v>2</v>
      </c>
      <c r="K20" s="1">
        <f>IFERROR(VLOOKUP(salesdata[[#This Row],[HSN_Code]],productsdata[#All],4,0),"")</f>
        <v>1199</v>
      </c>
      <c r="L20" s="1">
        <f>IFERROR(salesdata[[#This Row],[Units]]*salesdata[[#This Row],[Price ]],"")</f>
        <v>2398</v>
      </c>
    </row>
    <row r="21" spans="2:12" x14ac:dyDescent="0.3">
      <c r="B21" s="2"/>
      <c r="D21" s="1" t="s">
        <v>20</v>
      </c>
      <c r="E21" s="1" t="str">
        <f>IFERROR(VLOOKUP(salesdata[[#This Row],[C_ID]],customersdata[#All],2,0),"")</f>
        <v>Kabir Mehta</v>
      </c>
      <c r="F21" s="1" t="s">
        <v>42</v>
      </c>
      <c r="G21" s="1" t="str">
        <f>IFERROR(VLOOKUP(salesdata[[#This Row],[HSN_Code]],productsdata[#All],2,0),"")</f>
        <v>Ergonomic Wireless Mouse</v>
      </c>
      <c r="H21" s="3">
        <v>46322</v>
      </c>
      <c r="I21">
        <f>IFERROR(VLOOKUP(salesdata[[#This Row],[HSN_Code]],Table7[#All],6,0),"")</f>
        <v>15</v>
      </c>
      <c r="J21" s="1">
        <v>5</v>
      </c>
      <c r="K21" s="1">
        <f>IFERROR(VLOOKUP(salesdata[[#This Row],[HSN_Code]],productsdata[#All],4,0),"")</f>
        <v>1199</v>
      </c>
      <c r="L21" s="1">
        <f>IFERROR(salesdata[[#This Row],[Units]]*salesdata[[#This Row],[Price ]],"")</f>
        <v>5995</v>
      </c>
    </row>
    <row r="22" spans="2:12" x14ac:dyDescent="0.3">
      <c r="B22" s="2"/>
      <c r="D22" s="1" t="s">
        <v>8</v>
      </c>
      <c r="E22" s="1" t="str">
        <f>IFERROR(VLOOKUP(salesdata[[#This Row],[C_ID]],customersdata[#All],2,0),"")</f>
        <v>Priya Patel</v>
      </c>
      <c r="F22" s="1" t="s">
        <v>85</v>
      </c>
      <c r="G22" s="1" t="str">
        <f>IFERROR(VLOOKUP(salesdata[[#This Row],[HSN_Code]],productsdata[#All],2,0),"")</f>
        <v>Mouse</v>
      </c>
      <c r="H22" s="3">
        <v>46322</v>
      </c>
      <c r="I22" s="4">
        <f>IFERROR(VLOOKUP(salesdata[[#This Row],[HSN_Code]],Table7[#All],6,0),"")</f>
        <v>30</v>
      </c>
      <c r="J22" s="1">
        <v>20</v>
      </c>
      <c r="K22" s="1">
        <f>IFERROR(VLOOKUP(salesdata[[#This Row],[HSN_Code]],productsdata[#All],4,0),"")</f>
        <v>700</v>
      </c>
      <c r="L22" s="1">
        <f>IFERROR(salesdata[[#This Row],[Units]]*salesdata[[#This Row],[Price ]],"")</f>
        <v>14000</v>
      </c>
    </row>
    <row r="23" spans="2:12" x14ac:dyDescent="0.3">
      <c r="B23" s="2"/>
      <c r="E23" s="1" t="str">
        <f>IFERROR(VLOOKUP(salesdata[[#This Row],[C_ID]],customersdata[#All],2,0),"")</f>
        <v/>
      </c>
      <c r="G23" s="1" t="str">
        <f>IFERROR(VLOOKUP(salesdata[[#This Row],[HSN_Code]],productsdata[#All],2,0),"")</f>
        <v/>
      </c>
      <c r="H23" s="3"/>
      <c r="I23" s="4" t="str">
        <f>IFERROR(VLOOKUP(salesdata[[#This Row],[HSN_Code]],Table7[#All],6,0),"")</f>
        <v/>
      </c>
      <c r="K23" s="1" t="str">
        <f>IFERROR(VLOOKUP(salesdata[[#This Row],[HSN_Code]],productsdata[#All],4,0),"")</f>
        <v/>
      </c>
      <c r="L23" s="1" t="str">
        <f>IFERROR(salesdata[[#This Row],[Units]]*salesdata[[#This Row],[Price ]],"")</f>
        <v/>
      </c>
    </row>
    <row r="24" spans="2:12" x14ac:dyDescent="0.3">
      <c r="B24" s="2"/>
      <c r="E24" s="1" t="str">
        <f>IFERROR(VLOOKUP(salesdata[[#This Row],[C_ID]],customersdata[#All],2,0),"")</f>
        <v/>
      </c>
      <c r="G24" s="1" t="str">
        <f>IFERROR(VLOOKUP(salesdata[[#This Row],[HSN_Code]],productsdata[#All],2,0),"")</f>
        <v/>
      </c>
      <c r="H24" s="3"/>
      <c r="I24" s="4" t="str">
        <f>IFERROR(VLOOKUP(salesdata[[#This Row],[HSN_Code]],Table7[#All],6,0),"")</f>
        <v/>
      </c>
      <c r="K24" s="1" t="str">
        <f>IFERROR(VLOOKUP(salesdata[[#This Row],[HSN_Code]],productsdata[#All],4,0),"")</f>
        <v/>
      </c>
      <c r="L24" s="1" t="str">
        <f>IFERROR(salesdata[[#This Row],[Units]]*salesdata[[#This Row],[Price ]],"")</f>
        <v/>
      </c>
    </row>
    <row r="25" spans="2:12" x14ac:dyDescent="0.3">
      <c r="B25" s="2"/>
    </row>
    <row r="26" spans="2:12" x14ac:dyDescent="0.3">
      <c r="B26" s="2"/>
    </row>
    <row r="27" spans="2:12" x14ac:dyDescent="0.3">
      <c r="B27" s="2"/>
    </row>
    <row r="28" spans="2:12" x14ac:dyDescent="0.3">
      <c r="B28" s="2"/>
    </row>
    <row r="29" spans="2:12" x14ac:dyDescent="0.3">
      <c r="B29" s="2"/>
    </row>
    <row r="30" spans="2:12" x14ac:dyDescent="0.3">
      <c r="B30" s="2"/>
    </row>
    <row r="31" spans="2:12" x14ac:dyDescent="0.3">
      <c r="B31" s="2"/>
    </row>
    <row r="32" spans="2:1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phoneticPr fontId="2" type="noConversion"/>
  <dataValidations count="2">
    <dataValidation type="list" allowBlank="1" showInputMessage="1" showErrorMessage="1" sqref="D8:D22" xr:uid="{B661A2B5-793A-4C17-B280-9DEBDB786AB5}">
      <formula1>customerid</formula1>
    </dataValidation>
    <dataValidation type="list" allowBlank="1" showInputMessage="1" showErrorMessage="1" sqref="F8:F22" xr:uid="{86D6410F-6350-4CF4-A5CC-5AB3E4DA2FB3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4629-AE67-43A2-88BF-4FE222F4F410}">
  <dimension ref="B2:K42"/>
  <sheetViews>
    <sheetView showGridLines="0" showRowColHeaders="0" zoomScale="92" zoomScaleNormal="92" workbookViewId="0">
      <selection activeCell="E35" sqref="E35"/>
    </sheetView>
  </sheetViews>
  <sheetFormatPr defaultRowHeight="14.4" x14ac:dyDescent="0.3"/>
  <cols>
    <col min="1" max="1" width="4" style="1" customWidth="1"/>
    <col min="2" max="2" width="27.33203125" style="1" customWidth="1"/>
    <col min="3" max="3" width="3.6640625" style="1" customWidth="1"/>
    <col min="4" max="4" width="11.44140625" style="1" customWidth="1"/>
    <col min="5" max="5" width="15.33203125" style="1" customWidth="1"/>
    <col min="6" max="6" width="8.88671875" style="1"/>
    <col min="7" max="7" width="9" style="1" customWidth="1"/>
    <col min="8" max="9" width="8.88671875" style="1"/>
    <col min="10" max="10" width="15.21875" style="1" customWidth="1"/>
    <col min="11" max="11" width="76.77734375" style="1" customWidth="1"/>
    <col min="12" max="16384" width="8.88671875" style="1"/>
  </cols>
  <sheetData>
    <row r="2" spans="2:11" x14ac:dyDescent="0.3">
      <c r="B2" s="2"/>
    </row>
    <row r="3" spans="2:11" x14ac:dyDescent="0.3">
      <c r="B3" s="2"/>
    </row>
    <row r="4" spans="2:11" x14ac:dyDescent="0.3">
      <c r="B4" s="2"/>
    </row>
    <row r="5" spans="2:11" x14ac:dyDescent="0.3">
      <c r="B5" s="2"/>
    </row>
    <row r="6" spans="2:11" x14ac:dyDescent="0.3">
      <c r="B6" s="2"/>
    </row>
    <row r="7" spans="2:11" x14ac:dyDescent="0.3">
      <c r="B7" s="2"/>
      <c r="D7" t="s">
        <v>28</v>
      </c>
      <c r="E7" t="s">
        <v>72</v>
      </c>
      <c r="F7" t="s">
        <v>30</v>
      </c>
      <c r="G7" t="s">
        <v>81</v>
      </c>
      <c r="H7" t="s">
        <v>82</v>
      </c>
      <c r="I7" t="s">
        <v>83</v>
      </c>
      <c r="J7" t="s">
        <v>84</v>
      </c>
      <c r="K7" t="s">
        <v>100</v>
      </c>
    </row>
    <row r="8" spans="2:11" x14ac:dyDescent="0.3">
      <c r="B8" s="2"/>
      <c r="D8" t="str">
        <f>IFERROR(productsdata[[#This Row],[HSN Code]],"")</f>
        <v>N1001</v>
      </c>
      <c r="E8" t="str">
        <f>IFERROR(productsdata[[#This Row],[PName]],"")</f>
        <v>Wireless Earbuds</v>
      </c>
      <c r="F8">
        <f>IFERROR(productsdata[[#This Row],[Cost]],"")</f>
        <v>1500</v>
      </c>
      <c r="G8">
        <f>IFERROR(SUMIF(Table5[Product Name],Table7[[#This Row],[Product Name]],Table5[Units]),"")</f>
        <v>20</v>
      </c>
      <c r="H8">
        <f>IFERROR(SUMIF(salesdata[Product Name],Table7[[#This Row],[Product Name]],salesdata[Units]),"")</f>
        <v>0</v>
      </c>
      <c r="I8">
        <f>IFERROR(Table7[[#This Row],[P Units]]-Table7[[#This Row],[S Units]],"")</f>
        <v>20</v>
      </c>
      <c r="J8">
        <f>IFERROR(Table7[[#This Row],[Stock]]*Table7[[#This Row],[Cost]],"")</f>
        <v>30000</v>
      </c>
      <c r="K8" t="str">
        <f>IFERROR(IF(Table7[[#This Row],[Stock]]&lt;5,"📞"&amp;Vendorsdata[[#This Row],[Vendor Name]]&amp;"| For reorder !"&amp;Table7[[#This Row],[Product Name]]&amp;" PH "&amp;VLOOKUP(Table7[[#This Row],[HSN Code]],Vendorsdata[#All],4,0),""),"")</f>
        <v/>
      </c>
    </row>
    <row r="9" spans="2:11" x14ac:dyDescent="0.3">
      <c r="B9" s="2"/>
      <c r="D9" t="str">
        <f>IFERROR(productsdata[[#This Row],[HSN Code]],"")</f>
        <v>N1002</v>
      </c>
      <c r="E9" t="str">
        <f>IFERROR(productsdata[[#This Row],[PName]],"")</f>
        <v>Smartphone 128GB</v>
      </c>
      <c r="F9">
        <f>IFERROR(productsdata[[#This Row],[Cost]],"")</f>
        <v>18000</v>
      </c>
      <c r="G9">
        <f>IFERROR(SUMIF(Table5[Product Name],Table7[[#This Row],[Product Name]],Table5[Units]),"")</f>
        <v>45</v>
      </c>
      <c r="H9">
        <f>IFERROR(SUMIF(salesdata[Product Name],Table7[[#This Row],[Product Name]],salesdata[Units]),"")</f>
        <v>9</v>
      </c>
      <c r="I9">
        <f>IFERROR(Table7[[#This Row],[P Units]]-Table7[[#This Row],[S Units]],"")</f>
        <v>36</v>
      </c>
      <c r="J9">
        <f>IFERROR(Table7[[#This Row],[Stock]]*Table7[[#This Row],[Cost]],"")</f>
        <v>648000</v>
      </c>
      <c r="K9" t="str">
        <f>IFERROR(IF(Table7[[#This Row],[Stock]]&lt;5,"📞"&amp;Vendorsdata[[#This Row],[Vendor Name]]&amp;"| For reorder !"&amp;Table7[[#This Row],[Product Name]]&amp;" PH "&amp;VLOOKUP(Table7[[#This Row],[HSN Code]],Vendorsdata[#All],4,0),""),"")</f>
        <v/>
      </c>
    </row>
    <row r="10" spans="2:11" x14ac:dyDescent="0.3">
      <c r="B10" s="2"/>
      <c r="D10" t="str">
        <f>IFERROR(productsdata[[#This Row],[HSN Code]],"")</f>
        <v>N1003</v>
      </c>
      <c r="E10" t="str">
        <f>IFERROR(productsdata[[#This Row],[PName]],"")</f>
        <v>Business Laptop 15.6"</v>
      </c>
      <c r="F10">
        <f>IFERROR(productsdata[[#This Row],[Cost]],"")</f>
        <v>42000</v>
      </c>
      <c r="G10">
        <f>IFERROR(SUMIF(Table5[Product Name],Table7[[#This Row],[Product Name]],Table5[Units]),"")</f>
        <v>0</v>
      </c>
      <c r="H10">
        <f>IFERROR(SUMIF(salesdata[Product Name],Table7[[#This Row],[Product Name]],salesdata[Units]),"")</f>
        <v>0</v>
      </c>
      <c r="I10">
        <f>IFERROR(Table7[[#This Row],[P Units]]-Table7[[#This Row],[S Units]],"")</f>
        <v>0</v>
      </c>
      <c r="J10">
        <f>IFERROR(Table7[[#This Row],[Stock]]*Table7[[#This Row],[Cost]],"")</f>
        <v>0</v>
      </c>
      <c r="K10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📞Global Tech Supplies| For reorder !Business Laptop 15.6" PH 9765433445</v>
      </c>
    </row>
    <row r="11" spans="2:11" x14ac:dyDescent="0.3">
      <c r="B11" s="2"/>
      <c r="D11" t="str">
        <f>IFERROR(productsdata[[#This Row],[HSN Code]],"")</f>
        <v>N1004</v>
      </c>
      <c r="E11" t="str">
        <f>IFERROR(productsdata[[#This Row],[PName]],"")</f>
        <v>27" Full HD Monitor</v>
      </c>
      <c r="F11">
        <f>IFERROR(productsdata[[#This Row],[Cost]],"")</f>
        <v>9500</v>
      </c>
      <c r="G11">
        <f>IFERROR(SUMIF(Table5[Product Name],Table7[[#This Row],[Product Name]],Table5[Units]),"")</f>
        <v>5</v>
      </c>
      <c r="H11">
        <f>IFERROR(SUMIF(salesdata[Product Name],Table7[[#This Row],[Product Name]],salesdata[Units]),"")</f>
        <v>1</v>
      </c>
      <c r="I11">
        <f>IFERROR(Table7[[#This Row],[P Units]]-Table7[[#This Row],[S Units]],"")</f>
        <v>4</v>
      </c>
      <c r="J11">
        <f>IFERROR(Table7[[#This Row],[Stock]]*Table7[[#This Row],[Cost]],"")</f>
        <v>38000</v>
      </c>
      <c r="K11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📞Prime Electronics| For reorder !27" Full HD Monitor PH 9811244556</v>
      </c>
    </row>
    <row r="12" spans="2:11" x14ac:dyDescent="0.3">
      <c r="B12" s="2"/>
      <c r="D12" t="str">
        <f>IFERROR(productsdata[[#This Row],[HSN Code]],"")</f>
        <v>N1005</v>
      </c>
      <c r="E12" t="str">
        <f>IFERROR(productsdata[[#This Row],[PName]],"")</f>
        <v>Mechanical Gaming Keyboard</v>
      </c>
      <c r="F12">
        <f>IFERROR(productsdata[[#This Row],[Cost]],"")</f>
        <v>1800</v>
      </c>
      <c r="G12">
        <f>IFERROR(SUMIF(Table5[Product Name],Table7[[#This Row],[Product Name]],Table5[Units]),"")</f>
        <v>6</v>
      </c>
      <c r="H12">
        <f>IFERROR(SUMIF(salesdata[Product Name],Table7[[#This Row],[Product Name]],salesdata[Units]),"")</f>
        <v>3</v>
      </c>
      <c r="I12">
        <f>IFERROR(Table7[[#This Row],[P Units]]-Table7[[#This Row],[S Units]],"")</f>
        <v>3</v>
      </c>
      <c r="J12">
        <f>IFERROR(Table7[[#This Row],[Stock]]*Table7[[#This Row],[Cost]],"")</f>
        <v>5400</v>
      </c>
      <c r="K12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📞Prime Electronics| For reorder !Mechanical Gaming Keyboard PH 9922355667</v>
      </c>
    </row>
    <row r="13" spans="2:11" x14ac:dyDescent="0.3">
      <c r="B13" s="2"/>
      <c r="D13" t="str">
        <f>IFERROR(productsdata[[#This Row],[HSN Code]],"")</f>
        <v>N1006</v>
      </c>
      <c r="E13" t="str">
        <f>IFERROR(productsdata[[#This Row],[PName]],"")</f>
        <v>Ergonomic Wireless Mouse</v>
      </c>
      <c r="F13">
        <f>IFERROR(productsdata[[#This Row],[Cost]],"")</f>
        <v>600</v>
      </c>
      <c r="G13">
        <f>IFERROR(SUMIF(Table5[Product Name],Table7[[#This Row],[Product Name]],Table5[Units]),"")</f>
        <v>22</v>
      </c>
      <c r="H13">
        <f>IFERROR(SUMIF(salesdata[Product Name],Table7[[#This Row],[Product Name]],salesdata[Units]),"")</f>
        <v>7</v>
      </c>
      <c r="I13">
        <f>IFERROR(Table7[[#This Row],[P Units]]-Table7[[#This Row],[S Units]],"")</f>
        <v>15</v>
      </c>
      <c r="J13">
        <f>IFERROR(Table7[[#This Row],[Stock]]*Table7[[#This Row],[Cost]],"")</f>
        <v>9000</v>
      </c>
      <c r="K13" t="str">
        <f>IFERROR(IF(Table7[[#This Row],[Stock]]&lt;5,"📞"&amp;Vendorsdata[[#This Row],[Vendor Name]]&amp;"| For reorder !"&amp;Table7[[#This Row],[Product Name]]&amp;" PH "&amp;VLOOKUP(Table7[[#This Row],[HSN Code]],Vendorsdata[#All],4,0),""),"")</f>
        <v/>
      </c>
    </row>
    <row r="14" spans="2:11" x14ac:dyDescent="0.3">
      <c r="B14" s="2"/>
      <c r="D14" t="str">
        <f>IFERROR(productsdata[[#This Row],[HSN Code]],"")</f>
        <v>N1007</v>
      </c>
      <c r="E14" t="str">
        <f>IFERROR(productsdata[[#This Row],[PName]],"")</f>
        <v>Portable Bluetooth Speaker</v>
      </c>
      <c r="F14">
        <f>IFERROR(productsdata[[#This Row],[Cost]],"")</f>
        <v>1200</v>
      </c>
      <c r="G14">
        <f>IFERROR(SUMIF(Table5[Product Name],Table7[[#This Row],[Product Name]],Table5[Units]),"")</f>
        <v>10</v>
      </c>
      <c r="H14">
        <f>IFERROR(SUMIF(salesdata[Product Name],Table7[[#This Row],[Product Name]],salesdata[Units]),"")</f>
        <v>6</v>
      </c>
      <c r="I14">
        <f>IFERROR(Table7[[#This Row],[P Units]]-Table7[[#This Row],[S Units]],"")</f>
        <v>4</v>
      </c>
      <c r="J14">
        <f>IFERROR(Table7[[#This Row],[Stock]]*Table7[[#This Row],[Cost]],"")</f>
        <v>4800</v>
      </c>
      <c r="K14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📞Nexus Enterprises| For reorder !Portable Bluetooth Speaker PH 9711777889</v>
      </c>
    </row>
    <row r="15" spans="2:11" x14ac:dyDescent="0.3">
      <c r="B15" s="2"/>
      <c r="D15" t="str">
        <f>IFERROR(productsdata[[#This Row],[HSN Code]],"")</f>
        <v>N1008</v>
      </c>
      <c r="E15" t="str">
        <f>IFERROR(productsdata[[#This Row],[PName]],"")</f>
        <v>Dual-Band Wi-Fi Router</v>
      </c>
      <c r="F15">
        <f>IFERROR(productsdata[[#This Row],[Cost]],"")</f>
        <v>1100</v>
      </c>
      <c r="G15">
        <f>IFERROR(SUMIF(Table5[Product Name],Table7[[#This Row],[Product Name]],Table5[Units]),"")</f>
        <v>0</v>
      </c>
      <c r="H15">
        <f>IFERROR(SUMIF(salesdata[Product Name],Table7[[#This Row],[Product Name]],salesdata[Units]),"")</f>
        <v>0</v>
      </c>
      <c r="I15">
        <f>IFERROR(Table7[[#This Row],[P Units]]-Table7[[#This Row],[S Units]],"")</f>
        <v>0</v>
      </c>
      <c r="J15">
        <f>IFERROR(Table7[[#This Row],[Stock]]*Table7[[#This Row],[Cost]],"")</f>
        <v>0</v>
      </c>
      <c r="K15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📞Apex Distributors| For reorder !Dual-Band Wi-Fi Router PH 9822888990</v>
      </c>
    </row>
    <row r="16" spans="2:11" x14ac:dyDescent="0.3">
      <c r="B16" s="2"/>
      <c r="D16" t="str">
        <f>IFERROR(productsdata[[#This Row],[HSN Code]],"")</f>
        <v>N1009</v>
      </c>
      <c r="E16" t="str">
        <f>IFERROR(productsdata[[#This Row],[PName]],"")</f>
        <v>43" 4K Smart TV</v>
      </c>
      <c r="F16">
        <f>IFERROR(productsdata[[#This Row],[Cost]],"")</f>
        <v>19000</v>
      </c>
      <c r="G16">
        <f>IFERROR(SUMIF(Table5[Product Name],Table7[[#This Row],[Product Name]],Table5[Units]),"")</f>
        <v>0</v>
      </c>
      <c r="H16">
        <f>IFERROR(SUMIF(salesdata[Product Name],Table7[[#This Row],[Product Name]],salesdata[Units]),"")</f>
        <v>0</v>
      </c>
      <c r="I16">
        <f>IFERROR(Table7[[#This Row],[P Units]]-Table7[[#This Row],[S Units]],"")</f>
        <v>0</v>
      </c>
      <c r="J16">
        <f>IFERROR(Table7[[#This Row],[Stock]]*Table7[[#This Row],[Cost]],"")</f>
        <v>0</v>
      </c>
      <c r="K16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📞Global Tech Supplies| For reorder !43" 4K Smart TV PH 9933999001</v>
      </c>
    </row>
    <row r="17" spans="2:11" x14ac:dyDescent="0.3">
      <c r="B17" s="2"/>
      <c r="D17" t="str">
        <f>IFERROR(productsdata[[#This Row],[HSN Code]],"")</f>
        <v>N1010</v>
      </c>
      <c r="E17" t="str">
        <f>IFERROR(productsdata[[#This Row],[PName]],"")</f>
        <v>20000mAh Fast Charging Power Bank</v>
      </c>
      <c r="F17">
        <f>IFERROR(productsdata[[#This Row],[Cost]],"")</f>
        <v>900</v>
      </c>
      <c r="G17">
        <f>IFERROR(SUMIF(Table5[Product Name],Table7[[#This Row],[Product Name]],Table5[Units]),"")</f>
        <v>16</v>
      </c>
      <c r="H17">
        <f>IFERROR(SUMIF(salesdata[Product Name],Table7[[#This Row],[Product Name]],salesdata[Units]),"")</f>
        <v>15</v>
      </c>
      <c r="I17">
        <f>IFERROR(Table7[[#This Row],[P Units]]-Table7[[#This Row],[S Units]],"")</f>
        <v>1</v>
      </c>
      <c r="J17">
        <f>IFERROR(Table7[[#This Row],[Stock]]*Table7[[#This Row],[Cost]],"")</f>
        <v>900</v>
      </c>
      <c r="K17" t="str">
        <f>IFERROR(IF(Table7[[#This Row],[Stock]]&lt;5,"📞"&amp;Vendorsdata[[#This Row],[Vendor Name]]&amp;"| For reorder !"&amp;Table7[[#This Row],[Product Name]]&amp;" PH "&amp;VLOOKUP(Table7[[#This Row],[HSN Code]],Vendorsdata[#All],4,0),""),"")</f>
        <v>📞Nexus Enterprises| For reorder !20000mAh Fast Charging Power Bank PH 9876000112</v>
      </c>
    </row>
    <row r="18" spans="2:11" x14ac:dyDescent="0.3">
      <c r="B18" s="2"/>
      <c r="D18" t="str">
        <f>IFERROR(productsdata[[#This Row],[HSN Code]],"")</f>
        <v>N1011</v>
      </c>
      <c r="E18" t="str">
        <f>IFERROR(productsdata[[#This Row],[PName]],"")</f>
        <v>Mouse</v>
      </c>
      <c r="F18">
        <f>IFERROR(productsdata[[#This Row],[Cost]],"")</f>
        <v>500</v>
      </c>
      <c r="G18">
        <f>IFERROR(SUMIF(Table5[Product Name],Table7[[#This Row],[Product Name]],Table5[Units]),"")</f>
        <v>50</v>
      </c>
      <c r="H18">
        <f>IFERROR(SUMIF(salesdata[Product Name],Table7[[#This Row],[Product Name]],salesdata[Units]),"")</f>
        <v>20</v>
      </c>
      <c r="I18">
        <f>IFERROR(Table7[[#This Row],[P Units]]-Table7[[#This Row],[S Units]],"")</f>
        <v>30</v>
      </c>
      <c r="J18">
        <f>IFERROR(Table7[[#This Row],[Stock]]*Table7[[#This Row],[Cost]],"")</f>
        <v>15000</v>
      </c>
      <c r="K18" t="str">
        <f>IFERROR(IF(Table7[[#This Row],[Stock]]&lt;5,"📞"&amp;Vendorsdata[[#This Row],[Vendor Name]]&amp;"| For reorder !"&amp;Table7[[#This Row],[Product Name]]&amp;" PH "&amp;VLOOKUP(Table7[[#This Row],[HSN Code]],Vendorsdata[#All],4,0),""),"")</f>
        <v/>
      </c>
    </row>
    <row r="19" spans="2:11" x14ac:dyDescent="0.3">
      <c r="B19" s="2"/>
    </row>
    <row r="20" spans="2:11" x14ac:dyDescent="0.3">
      <c r="B20" s="2"/>
    </row>
    <row r="21" spans="2:11" x14ac:dyDescent="0.3">
      <c r="B21" s="2"/>
    </row>
    <row r="22" spans="2:11" x14ac:dyDescent="0.3">
      <c r="B22" s="2"/>
    </row>
    <row r="23" spans="2:11" x14ac:dyDescent="0.3">
      <c r="B23" s="2"/>
    </row>
    <row r="24" spans="2:11" x14ac:dyDescent="0.3">
      <c r="B24" s="2"/>
    </row>
    <row r="25" spans="2:11" x14ac:dyDescent="0.3">
      <c r="B25" s="2"/>
    </row>
    <row r="26" spans="2:11" x14ac:dyDescent="0.3">
      <c r="B26" s="2"/>
    </row>
    <row r="27" spans="2:11" x14ac:dyDescent="0.3">
      <c r="B27" s="2"/>
    </row>
    <row r="28" spans="2:11" x14ac:dyDescent="0.3">
      <c r="B28" s="2"/>
    </row>
    <row r="29" spans="2:11" x14ac:dyDescent="0.3">
      <c r="B29" s="2"/>
    </row>
    <row r="30" spans="2:11" x14ac:dyDescent="0.3">
      <c r="B30" s="2"/>
    </row>
    <row r="31" spans="2:11" x14ac:dyDescent="0.3">
      <c r="B31" s="2"/>
    </row>
    <row r="32" spans="2:11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8F57-D004-4271-B1B2-3CC00CA7AA9A}">
  <dimension ref="A1"/>
  <sheetViews>
    <sheetView showRowColHeaders="0" topLeftCell="B1" workbookViewId="0">
      <selection activeCell="Q19" sqref="Q19"/>
    </sheetView>
  </sheetViews>
  <sheetFormatPr defaultRowHeight="14.4" x14ac:dyDescent="0.3"/>
  <cols>
    <col min="1" max="1" width="7.109375" bestFit="1" customWidth="1"/>
    <col min="2" max="2" width="24.33203125" customWidth="1"/>
    <col min="3" max="3" width="41.77734375" customWidth="1"/>
    <col min="4" max="4" width="34.6640625" customWidth="1"/>
  </cols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282B-F015-4917-B3CA-B7ADDBC40FA1}">
  <dimension ref="B1:B42"/>
  <sheetViews>
    <sheetView showGridLines="0" showRowColHeaders="0" zoomScale="92" zoomScaleNormal="92" workbookViewId="0">
      <selection activeCell="Q19" sqref="Q19"/>
    </sheetView>
  </sheetViews>
  <sheetFormatPr defaultRowHeight="14.4" x14ac:dyDescent="0.3"/>
  <cols>
    <col min="2" max="2" width="8.88671875" style="1"/>
  </cols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Dashboard</vt:lpstr>
      <vt:lpstr>pivots</vt:lpstr>
      <vt:lpstr>Customers</vt:lpstr>
      <vt:lpstr>Products</vt:lpstr>
      <vt:lpstr>Vendors</vt:lpstr>
      <vt:lpstr>New Entry</vt:lpstr>
      <vt:lpstr>Purchase</vt:lpstr>
      <vt:lpstr>Sales</vt:lpstr>
      <vt:lpstr>Inventory </vt:lpstr>
      <vt:lpstr>Sheet13</vt:lpstr>
      <vt:lpstr>Sheet14</vt:lpstr>
      <vt:lpstr>customerid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Umalkar</dc:creator>
  <cp:lastModifiedBy>Salman Umalkar</cp:lastModifiedBy>
  <dcterms:created xsi:type="dcterms:W3CDTF">2015-06-05T18:17:20Z</dcterms:created>
  <dcterms:modified xsi:type="dcterms:W3CDTF">2026-10-27T17:29:01Z</dcterms:modified>
</cp:coreProperties>
</file>